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E:\Development\01-Github\Repositories\projects\P-TPI-ETML\01-Documents\Reports\"/>
    </mc:Choice>
  </mc:AlternateContent>
  <xr:revisionPtr revIDLastSave="0" documentId="13_ncr:1_{52A08B78-6719-4EBA-94F4-4CCCAF5D0113}" xr6:coauthVersionLast="47" xr6:coauthVersionMax="47" xr10:uidLastSave="{00000000-0000-0000-0000-000000000000}"/>
  <bookViews>
    <workbookView xWindow="28680" yWindow="-5490" windowWidth="38640" windowHeight="21120" tabRatio="542"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Journal!$A$206:$F$289</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B24" i="12"/>
  <c r="C23" i="12"/>
  <c r="C22" i="12"/>
  <c r="C21" i="12"/>
  <c r="C20" i="12"/>
  <c r="C19" i="12"/>
  <c r="C18" i="12"/>
  <c r="B36" i="12"/>
  <c r="C35" i="12"/>
  <c r="C34" i="12"/>
  <c r="C33" i="12"/>
  <c r="C32" i="12"/>
  <c r="B48" i="12"/>
  <c r="C47" i="12"/>
  <c r="C46" i="12"/>
  <c r="C45" i="12"/>
  <c r="C44" i="12"/>
  <c r="C43" i="12"/>
  <c r="B60" i="12"/>
  <c r="C59" i="12"/>
  <c r="C58" i="12"/>
  <c r="C57" i="12"/>
  <c r="C56" i="12"/>
  <c r="C55" i="12"/>
  <c r="B72" i="12"/>
  <c r="C71" i="12"/>
  <c r="C70" i="12"/>
  <c r="C69" i="12"/>
  <c r="C68" i="12"/>
  <c r="B84" i="12"/>
  <c r="C83" i="12"/>
  <c r="C82" i="12"/>
  <c r="C81" i="12"/>
  <c r="C80" i="12"/>
  <c r="C79" i="12"/>
  <c r="C78" i="12"/>
  <c r="B96" i="12"/>
  <c r="C95" i="12"/>
  <c r="C94" i="12"/>
  <c r="C93" i="12"/>
  <c r="C92" i="12"/>
  <c r="C91" i="12"/>
  <c r="C90" i="12"/>
  <c r="B108" i="12"/>
  <c r="C107" i="12"/>
  <c r="C106" i="12"/>
  <c r="C105" i="12"/>
  <c r="C104" i="12"/>
  <c r="C103" i="12"/>
  <c r="B120" i="12"/>
  <c r="C119" i="12"/>
  <c r="C118" i="12"/>
  <c r="C117" i="12"/>
  <c r="C116" i="12"/>
  <c r="B132" i="12"/>
  <c r="C131" i="12"/>
  <c r="C130" i="12"/>
  <c r="C129" i="12"/>
  <c r="B144" i="12"/>
  <c r="C143" i="12"/>
  <c r="C142" i="12"/>
  <c r="C141" i="12"/>
  <c r="C140" i="12"/>
  <c r="C139" i="12"/>
  <c r="C138" i="12"/>
  <c r="B156" i="12"/>
  <c r="C155" i="12"/>
  <c r="C154" i="12"/>
  <c r="C153" i="12"/>
  <c r="C152" i="12"/>
  <c r="C151" i="12"/>
  <c r="C150" i="12"/>
  <c r="B168" i="12"/>
  <c r="C167" i="12"/>
  <c r="C166" i="12"/>
  <c r="C165" i="12"/>
  <c r="C164" i="12"/>
  <c r="C163" i="12"/>
  <c r="B180" i="12"/>
  <c r="C179" i="12"/>
  <c r="C178" i="12"/>
  <c r="C177" i="12"/>
  <c r="C176" i="12"/>
  <c r="C175" i="12"/>
  <c r="B192" i="12"/>
  <c r="C191" i="12"/>
  <c r="C190" i="12"/>
  <c r="C189" i="12"/>
  <c r="C188" i="12"/>
  <c r="C187" i="12"/>
  <c r="B204" i="12"/>
  <c r="C203" i="12"/>
  <c r="C202" i="12"/>
  <c r="C201" i="12"/>
  <c r="C200" i="12"/>
  <c r="C199" i="12"/>
  <c r="C198" i="12"/>
  <c r="B216" i="12"/>
  <c r="C215" i="12"/>
  <c r="C214" i="12"/>
  <c r="C213" i="12"/>
  <c r="C212" i="12"/>
  <c r="C211" i="12"/>
  <c r="B228" i="12"/>
  <c r="C227" i="12"/>
  <c r="C226" i="12"/>
  <c r="C225" i="12"/>
  <c r="C224" i="12"/>
  <c r="C223" i="12"/>
  <c r="B240" i="12"/>
  <c r="C239" i="12"/>
  <c r="C238" i="12"/>
  <c r="C237" i="12"/>
  <c r="C236" i="12"/>
  <c r="C235" i="12"/>
  <c r="B252" i="12"/>
  <c r="C251" i="12"/>
  <c r="C250" i="12"/>
  <c r="C249" i="12"/>
  <c r="C174" i="12"/>
  <c r="C128" i="12"/>
  <c r="C67" i="12"/>
  <c r="C5" i="12"/>
  <c r="C4" i="12"/>
  <c r="C16" i="12"/>
  <c r="C17" i="12"/>
  <c r="C12" i="12"/>
  <c r="C24" i="12"/>
  <c r="C36" i="12"/>
  <c r="C102" i="12"/>
  <c r="C65" i="12"/>
  <c r="C168" i="12"/>
  <c r="C244" i="12"/>
  <c r="C222" i="12"/>
  <c r="C101" i="12"/>
  <c r="C149" i="12"/>
  <c r="C156" i="12"/>
  <c r="C210" i="12"/>
  <c r="C132" i="12"/>
  <c r="C209" i="12"/>
  <c r="C160" i="12"/>
  <c r="C234" i="12"/>
  <c r="C252" i="12"/>
  <c r="C88" i="12"/>
  <c r="C48" i="12"/>
  <c r="C108" i="12"/>
  <c r="C28" i="12"/>
  <c r="C89" i="12"/>
  <c r="C172" i="12"/>
  <c r="C137" i="12"/>
  <c r="C144" i="12"/>
  <c r="C60" i="12"/>
  <c r="C221" i="12"/>
  <c r="C232" i="12"/>
  <c r="C41" i="12"/>
  <c r="C247" i="12"/>
  <c r="C245" i="12"/>
  <c r="C233" i="12"/>
  <c r="C30" i="12"/>
  <c r="C126" i="12"/>
  <c r="C148" i="12"/>
  <c r="C204" i="12"/>
  <c r="C112" i="12"/>
  <c r="C220" i="12"/>
  <c r="C246" i="12"/>
  <c r="C115" i="12"/>
  <c r="C124" i="12"/>
  <c r="C185" i="12"/>
  <c r="C64" i="12"/>
  <c r="C228" i="12"/>
  <c r="C136" i="12"/>
  <c r="C216" i="12"/>
  <c r="C197" i="12"/>
  <c r="C240" i="12"/>
  <c r="C248" i="12"/>
  <c r="C161" i="12"/>
  <c r="C184" i="12"/>
  <c r="C96" i="12"/>
  <c r="C84" i="12"/>
  <c r="C162" i="12"/>
  <c r="C113" i="12"/>
  <c r="C100" i="12"/>
  <c r="C54" i="12"/>
  <c r="C40" i="12"/>
  <c r="C208" i="12"/>
  <c r="C29" i="12"/>
  <c r="C53" i="12"/>
  <c r="C76" i="12"/>
  <c r="C72" i="12"/>
  <c r="C52" i="12"/>
  <c r="C125" i="12"/>
  <c r="C120" i="12"/>
  <c r="C114" i="12"/>
  <c r="C196" i="12"/>
  <c r="C180" i="12"/>
  <c r="C31" i="12"/>
  <c r="C186" i="12"/>
  <c r="C192" i="12"/>
  <c r="C77" i="12"/>
  <c r="C127" i="12"/>
  <c r="C66" i="12"/>
  <c r="C173" i="12"/>
  <c r="C42" i="12"/>
  <c r="B264" i="12" l="1"/>
  <c r="C263" i="12"/>
  <c r="C262" i="12"/>
  <c r="C261" i="12"/>
  <c r="C260" i="12"/>
  <c r="B276" i="12"/>
  <c r="C275" i="12"/>
  <c r="C274" i="12"/>
  <c r="C273" i="12"/>
  <c r="C272" i="12"/>
  <c r="C271" i="12"/>
  <c r="B288" i="12"/>
  <c r="C287" i="12"/>
  <c r="C286" i="12"/>
  <c r="C285" i="12"/>
  <c r="C284" i="12"/>
  <c r="C283" i="12"/>
  <c r="C282" i="12"/>
  <c r="B12" i="10"/>
  <c r="C11" i="10"/>
  <c r="C10" i="10"/>
  <c r="C9" i="10"/>
  <c r="C8" i="10"/>
  <c r="C7" i="10"/>
  <c r="C6" i="10"/>
  <c r="B24" i="10"/>
  <c r="C23" i="10"/>
  <c r="C22" i="10"/>
  <c r="C21" i="10"/>
  <c r="C20" i="10"/>
  <c r="C19" i="10"/>
  <c r="C18" i="10"/>
  <c r="B36" i="10"/>
  <c r="C35" i="10"/>
  <c r="C34" i="10"/>
  <c r="C33" i="10"/>
  <c r="C32" i="10"/>
  <c r="C31" i="10"/>
  <c r="C30" i="10"/>
  <c r="B48" i="10"/>
  <c r="C47" i="10"/>
  <c r="C46" i="10"/>
  <c r="C45" i="10"/>
  <c r="C44" i="10"/>
  <c r="C43" i="10"/>
  <c r="B60" i="10"/>
  <c r="C59" i="10"/>
  <c r="C58" i="10"/>
  <c r="C57" i="10"/>
  <c r="C56" i="10"/>
  <c r="C55" i="10"/>
  <c r="B72" i="10"/>
  <c r="C71" i="10"/>
  <c r="C70" i="10"/>
  <c r="C69" i="10"/>
  <c r="C68" i="10"/>
  <c r="C67" i="10"/>
  <c r="B84" i="10"/>
  <c r="C83" i="10"/>
  <c r="C82" i="10"/>
  <c r="C81" i="10"/>
  <c r="C80" i="10"/>
  <c r="C79" i="10"/>
  <c r="C78" i="10"/>
  <c r="B96" i="10"/>
  <c r="C95" i="10"/>
  <c r="C94" i="10"/>
  <c r="C93" i="10"/>
  <c r="C92" i="10"/>
  <c r="B108" i="10"/>
  <c r="C107" i="10"/>
  <c r="C106" i="10"/>
  <c r="C105" i="10"/>
  <c r="C104" i="10"/>
  <c r="C103" i="10"/>
  <c r="C102"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C151" i="10"/>
  <c r="B168" i="10"/>
  <c r="C167" i="10"/>
  <c r="C166" i="10"/>
  <c r="C165" i="10"/>
  <c r="C164" i="10"/>
  <c r="C163" i="10"/>
  <c r="C162" i="10"/>
  <c r="B180" i="10"/>
  <c r="C179" i="10"/>
  <c r="C178" i="10"/>
  <c r="C177" i="10"/>
  <c r="C176" i="10"/>
  <c r="C175" i="10"/>
  <c r="B192" i="10"/>
  <c r="C191" i="10"/>
  <c r="C190" i="10"/>
  <c r="C189" i="10"/>
  <c r="C188" i="10"/>
  <c r="C187" i="10"/>
  <c r="C186" i="10"/>
  <c r="B204" i="10"/>
  <c r="C203" i="10"/>
  <c r="C202" i="10"/>
  <c r="C201" i="10"/>
  <c r="C200" i="10"/>
  <c r="C199" i="10"/>
  <c r="B216" i="10"/>
  <c r="C215" i="10"/>
  <c r="C214" i="10"/>
  <c r="C213" i="10"/>
  <c r="C212" i="10"/>
  <c r="C211" i="10"/>
  <c r="C210" i="10"/>
  <c r="B228" i="10"/>
  <c r="C227" i="10"/>
  <c r="C226" i="10"/>
  <c r="C225" i="10"/>
  <c r="C224" i="10"/>
  <c r="C223" i="10"/>
  <c r="B240" i="10"/>
  <c r="C239" i="10"/>
  <c r="C238" i="10"/>
  <c r="C237" i="10"/>
  <c r="C236" i="10"/>
  <c r="C235" i="10"/>
  <c r="B252" i="10"/>
  <c r="C251" i="10"/>
  <c r="C250" i="10"/>
  <c r="C249" i="10"/>
  <c r="C248" i="10"/>
  <c r="C247" i="10"/>
  <c r="B264" i="10"/>
  <c r="C263" i="10"/>
  <c r="C262" i="10"/>
  <c r="C261" i="10"/>
  <c r="B276" i="10"/>
  <c r="C275" i="10"/>
  <c r="C274" i="10"/>
  <c r="C273" i="10"/>
  <c r="C272" i="10"/>
  <c r="B288" i="10"/>
  <c r="C287" i="10"/>
  <c r="C286" i="10"/>
  <c r="C285" i="10"/>
  <c r="C284" i="10"/>
  <c r="B300" i="10"/>
  <c r="C299" i="10"/>
  <c r="C298" i="10"/>
  <c r="C297" i="10"/>
  <c r="C296" i="10"/>
  <c r="C295" i="10"/>
  <c r="C294" i="10"/>
  <c r="C10" i="15"/>
  <c r="C9" i="15"/>
  <c r="C8" i="15"/>
  <c r="C7" i="15"/>
  <c r="C6" i="15"/>
  <c r="C5" i="15"/>
  <c r="C4" i="15"/>
  <c r="C3" i="15"/>
  <c r="B11" i="15"/>
  <c r="C10" i="16"/>
  <c r="C9" i="16"/>
  <c r="C8" i="16"/>
  <c r="C7" i="16"/>
  <c r="C6" i="16"/>
  <c r="C5" i="16"/>
  <c r="C4" i="16"/>
  <c r="C3" i="16"/>
  <c r="B11" i="16"/>
  <c r="C150" i="10"/>
  <c r="C283" i="10"/>
  <c r="B38" i="1" l="1"/>
  <c r="D16" i="1"/>
  <c r="D34" i="1"/>
  <c r="D45" i="1"/>
  <c r="D90" i="1"/>
  <c r="D77" i="1"/>
  <c r="D36" i="1"/>
  <c r="D64" i="1"/>
  <c r="D46" i="1"/>
  <c r="D56" i="1"/>
  <c r="D17" i="1"/>
  <c r="D19" i="1"/>
  <c r="D29" i="1"/>
  <c r="D20" i="1"/>
  <c r="D76" i="1"/>
  <c r="D31" i="1"/>
  <c r="D38" i="1"/>
  <c r="D30" i="1"/>
  <c r="D24" i="1"/>
  <c r="D37" i="1"/>
  <c r="D50" i="1"/>
  <c r="D54" i="1"/>
  <c r="D63" i="1"/>
  <c r="D21" i="1"/>
  <c r="D72" i="1"/>
  <c r="C11" i="15"/>
  <c r="D44" i="1"/>
  <c r="D59" i="1"/>
  <c r="D74" i="1"/>
  <c r="D22" i="1"/>
  <c r="D27" i="1"/>
  <c r="D84" i="1"/>
  <c r="D92" i="1"/>
  <c r="D71" i="1"/>
  <c r="D87" i="1"/>
  <c r="D82" i="1"/>
  <c r="D65" i="1"/>
  <c r="D73" i="1"/>
  <c r="D93" i="1"/>
  <c r="D28" i="1"/>
  <c r="D49" i="1"/>
  <c r="D69" i="1"/>
  <c r="D89" i="1"/>
  <c r="D58" i="1"/>
  <c r="D43" i="1"/>
  <c r="D52" i="1"/>
  <c r="D75" i="1"/>
  <c r="D39" i="1"/>
  <c r="D70" i="1"/>
  <c r="D62" i="1"/>
  <c r="D41" i="1"/>
  <c r="D26" i="1"/>
  <c r="D60" i="1"/>
  <c r="D68" i="1"/>
  <c r="D67" i="1"/>
  <c r="D23" i="1"/>
  <c r="D83" i="1"/>
  <c r="C11" i="16"/>
  <c r="D85" i="1"/>
  <c r="D48" i="1"/>
  <c r="D55" i="1"/>
  <c r="D91" i="1"/>
  <c r="D61" i="1"/>
  <c r="D18" i="1"/>
  <c r="D57" i="1"/>
  <c r="D32" i="1"/>
  <c r="D80" i="1"/>
  <c r="D66" i="1"/>
  <c r="D51" i="1"/>
  <c r="D42" i="1"/>
  <c r="D78" i="1"/>
  <c r="D53" i="1"/>
  <c r="D33" i="1"/>
  <c r="D88" i="1"/>
  <c r="D25" i="1"/>
  <c r="D35" i="1"/>
  <c r="D81" i="1"/>
  <c r="D15" i="1"/>
  <c r="D79" i="1"/>
  <c r="D40" i="1"/>
  <c r="D47" i="1"/>
  <c r="D86" i="1"/>
  <c r="D94" i="1"/>
  <c r="C240" i="10"/>
  <c r="C112" i="10"/>
  <c r="C136" i="10"/>
  <c r="C60" i="10"/>
  <c r="C270" i="10"/>
  <c r="C204" i="10"/>
  <c r="C232" i="10"/>
  <c r="C276" i="10"/>
  <c r="C96" i="10"/>
  <c r="C28" i="10"/>
  <c r="C280" i="10"/>
  <c r="C120" i="10"/>
  <c r="C48" i="10"/>
  <c r="C65" i="10"/>
  <c r="C16" i="10"/>
  <c r="C5" i="10"/>
  <c r="C36" i="10"/>
  <c r="C53" i="10"/>
  <c r="C256" i="10"/>
  <c r="C168" i="10"/>
  <c r="C24" i="10"/>
  <c r="C257" i="10"/>
  <c r="C209" i="10"/>
  <c r="C77" i="10"/>
  <c r="C148" i="10"/>
  <c r="C72" i="10"/>
  <c r="C185" i="10"/>
  <c r="C173" i="10"/>
  <c r="C137" i="10"/>
  <c r="C40" i="10"/>
  <c r="C66" i="10"/>
  <c r="C156" i="10"/>
  <c r="C281" i="10"/>
  <c r="C101" i="10"/>
  <c r="C12" i="10"/>
  <c r="C208" i="10"/>
  <c r="C252" i="10"/>
  <c r="C76" i="10"/>
  <c r="C132" i="10"/>
  <c r="C17" i="10"/>
  <c r="C88" i="10"/>
  <c r="C221" i="10"/>
  <c r="C114" i="10"/>
  <c r="C108" i="10"/>
  <c r="C84" i="10"/>
  <c r="C293" i="10"/>
  <c r="C300" i="10"/>
  <c r="C90" i="10"/>
  <c r="C264" i="10"/>
  <c r="C196" i="10"/>
  <c r="C174" i="10"/>
  <c r="C160" i="10"/>
  <c r="C4" i="10"/>
  <c r="C161" i="10"/>
  <c r="C52" i="10"/>
  <c r="C258" i="10"/>
  <c r="C113" i="10"/>
  <c r="C41" i="10"/>
  <c r="C271" i="10"/>
  <c r="C292" i="10"/>
  <c r="C91" i="10"/>
  <c r="C259" i="10"/>
  <c r="C233" i="10"/>
  <c r="C222" i="10"/>
  <c r="C89" i="10"/>
  <c r="C268" i="10"/>
  <c r="C172" i="10"/>
  <c r="C245" i="10"/>
  <c r="C184" i="10"/>
  <c r="C42" i="10"/>
  <c r="C124" i="10"/>
  <c r="C149" i="10"/>
  <c r="C260" i="10"/>
  <c r="C100" i="10"/>
  <c r="C288" i="10"/>
  <c r="C220" i="10"/>
  <c r="C197" i="10"/>
  <c r="C192" i="10"/>
  <c r="C138" i="10"/>
  <c r="C198" i="10"/>
  <c r="C54" i="10"/>
  <c r="C125" i="10"/>
  <c r="C246" i="10"/>
  <c r="C269" i="10"/>
  <c r="C180" i="10"/>
  <c r="C29" i="10"/>
  <c r="C244" i="10"/>
  <c r="C282" i="10"/>
  <c r="C228" i="10"/>
  <c r="C144" i="10"/>
  <c r="C234" i="10"/>
  <c r="C216" i="10"/>
  <c r="C64" i="10"/>
  <c r="C258" i="12"/>
  <c r="C280" i="12"/>
  <c r="C256" i="12"/>
  <c r="C259" i="12"/>
  <c r="C288" i="12"/>
  <c r="C257" i="12"/>
  <c r="C264" i="12"/>
  <c r="C281" i="12"/>
  <c r="C269" i="12"/>
  <c r="C268" i="12"/>
  <c r="C276" i="12"/>
  <c r="C270" i="12"/>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<sst xmlns="http://schemas.openxmlformats.org/spreadsheetml/2006/main" count="1083" uniqueCount="140">
  <si>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</si>
  <si>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</si>
  <si>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</si>
  <si>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</si>
  <si>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</si>
  <si>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</si>
  <si>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</si>
  <si>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</si>
  <si>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</si>
  <si>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</si>
  <si>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</si>
  <si>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</si>
  <si>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</si>
  <si>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</si>
  <si>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</si>
  <si>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</si>
  <si>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</si>
  <si>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</si>
  <si>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</si>
  <si>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</si>
  <si>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</si>
  <si>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</si>
  <si>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</si>
  <si>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</si>
  <si>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</si>
  <si>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</si>
  <si>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</si>
  <si>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</si>
  <si>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</si>
  <si>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</si>
  <si>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</si>
  <si>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</si>
  <si>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</si>
  <si>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</si>
  <si>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</si>
  <si>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</si>
  <si>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</si>
  <si>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</si>
  <si>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</si>
  <si>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</si>
  <si>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</si>
  <si>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0h</t>
  </si>
  <si>
    <t>Analyse - Reflexions</t>
  </si>
  <si>
    <t>Analyse - Conception de l'api Flask</t>
  </si>
  <si>
    <t>Doc - Shémas</t>
  </si>
  <si>
    <t>Tests - Réalisation des tests end to end</t>
  </si>
  <si>
    <t>Tests - Installation docker</t>
  </si>
  <si>
    <t>Tests - Fonctionnalités</t>
  </si>
  <si>
    <t>TPI</t>
  </si>
  <si>
    <t>Damien Loup</t>
  </si>
  <si>
    <t>CID4B</t>
  </si>
  <si>
    <t>Abraxas - Avenue de la Gottaz 28A 1110 Morges</t>
  </si>
  <si>
    <t>Du 02.05.2024 au 03.06.2024</t>
  </si>
  <si>
    <t>Après-midi</t>
  </si>
  <si>
    <t>Réalisation de la planification initiale</t>
  </si>
  <si>
    <t>Entretien avec le premier expert de projet</t>
  </si>
  <si>
    <t>Matin</t>
  </si>
  <si>
    <t>Remplissage du journal de travail</t>
  </si>
  <si>
    <t>Mise à jour du rapport</t>
  </si>
  <si>
    <t>Reflexion sur la conception de la base de données</t>
  </si>
  <si>
    <t>Remplissage journal de travail</t>
  </si>
  <si>
    <t>Preparation de l'environnement Atlassian, jira et de l'emplacement du code source et des fichiers de documentation</t>
  </si>
  <si>
    <t>Création des schémas de base de données MCD, MLD et MPD</t>
  </si>
  <si>
    <t xml:space="preserve">Prévision des routes et des besoins pour l'api Flask </t>
  </si>
  <si>
    <t>Mise en place de l'environnement docker (containers et images) du backend, du frontend, de la base de données sqlite et des tests cypress</t>
  </si>
  <si>
    <t>Mise a jour du rapport</t>
  </si>
  <si>
    <t>Remplissage de la base de données avec des données temporaires</t>
  </si>
  <si>
    <t>Implémentation des routes backend et de l'accès à la base de données</t>
  </si>
  <si>
    <t>Implémentation - Configuration de l'environnement</t>
  </si>
  <si>
    <t>Implémentation - Base de données</t>
  </si>
  <si>
    <t>Implémentation - Réalisation du front-end</t>
  </si>
  <si>
    <t>Implémentation - Réalisation du back-end</t>
  </si>
  <si>
    <t>Implémentation du login et gestion des utilisateurs</t>
  </si>
  <si>
    <t>Finalisation du backend de l'application</t>
  </si>
  <si>
    <t>Mise à jour rapport</t>
  </si>
  <si>
    <t>Préparation des fichiers nécéssaires et implémentation du routing frontend</t>
  </si>
  <si>
    <t>Connexion au backend via les routes créées et création du login</t>
  </si>
  <si>
    <t>Journée</t>
  </si>
  <si>
    <t>Finalisation du rapport</t>
  </si>
  <si>
    <t>Préparation du rapport pour le rendu final</t>
  </si>
  <si>
    <t>Test des fonctionnalités du site en partie manuelle et en partie en lançant tous les tests cypress end to end</t>
  </si>
  <si>
    <t>Finalisation du login, de la session et sécurisation de celui-ci. Gérer les droits utilisateurs (Utilisateurs magasins / Utilisateur du site de gestion de stock)</t>
  </si>
  <si>
    <t>Création des schémas des pages du site web (Accueil, Login, Stock d'un magasin (utilisateur magasin), Stock total de tous les magasins)</t>
  </si>
  <si>
    <t>Commencement du frontend avec react en typescript et préparation des fichiers frontend nécéssaires et création de l'accueil</t>
  </si>
  <si>
    <t>Affichage du stock d'un magasin selon les schémas à l'aide d'un utilisateur "magasin"</t>
  </si>
  <si>
    <t>Fonctionnalité d'ajout de stock dans un magasin (par exemple à l'aide d'un fichier excel)</t>
  </si>
  <si>
    <t>Finalisation du stock dans un magasin par un utilisateur "magasin" et commencement de l'affichage de tous les stocks</t>
  </si>
  <si>
    <t>Finalisation de l'affichage de tous les stocks</t>
  </si>
  <si>
    <t>Installation de l'environement dans un nouveau container docker grâce aux fichiers "dockerfile" et "compose" créés au début du projet et vérification de son bon fonctionnement</t>
  </si>
  <si>
    <t>Correction de bugs potentiels dans le backend, finalisation des commentaires</t>
  </si>
  <si>
    <t>Correction de bugs potentiels dans le frontend, finalisation des commentaires</t>
  </si>
  <si>
    <t>Réalisation des tests cypress (connexion à différents utilisateurs, voir les stocks, droits utilisateurs, etc...)</t>
  </si>
  <si>
    <t>Finalisation des tests cypress</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</si>
  <si>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</si>
  <si>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</si>
  <si>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</si>
  <si>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</si>
  <si>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</si>
  <si>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</si>
  <si>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</si>
  <si>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</si>
  <si>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</si>
  <si>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</si>
  <si>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</si>
  <si>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</si>
  <si>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</si>
  <si>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</si>
  <si>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</si>
  <si>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</si>
  <si>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</si>
  <si>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</si>
  <si>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</si>
  <si>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</si>
  <si>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</si>
  <si>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Séquence 4</t>
  </si>
  <si>
    <t>83h20min</t>
  </si>
  <si>
    <t>- 83h20min</t>
  </si>
  <si>
    <t>Mise en place du rapport</t>
  </si>
  <si>
    <t>Reflexions sur la conception de la base de données</t>
  </si>
  <si>
    <t>Création des schémas des pages du site web</t>
  </si>
  <si>
    <t>Avancement sur le backend de l'application (petits problèmes avec docker)</t>
  </si>
  <si>
    <t>Mise en place du routing react pour le frontend de l'application avec tous les pages principales</t>
  </si>
  <si>
    <t>Via le frontend, création d'un fichier et fonctions permettant la connexion avec le backend et mise en place des éléments nécéssaires à cela et création du login utilisateur</t>
  </si>
  <si>
    <t>Création du schémas de flux utilisateur</t>
  </si>
  <si>
    <t>Début d'affichage du stock d'un magasin selon les schémas à l'aide d'un utilisateur "magasin"</t>
  </si>
  <si>
    <t>Correction de quelques routes en backend</t>
  </si>
  <si>
    <t>Finalisation de l'affichage du stock et du design selon les maquettes et début de création des fichiers excel afin de faire l'importation de stock</t>
  </si>
  <si>
    <t>Affichage du dashboard et des commandes sur les comptes admins (patron)</t>
  </si>
  <si>
    <t>Correction des maquettes et ajout de la maquette de routes</t>
  </si>
  <si>
    <t>Finalisation du frontend</t>
  </si>
  <si>
    <t>Entrevue avec le 2ème expert et point de vue sur le TPI, problèmes, questions, fin et rendu.</t>
  </si>
  <si>
    <t>Modification de la mise en page du rapport, ajout des risques techniques et présentation de la planification de ticketing JIRA sans les images. Mise en place de screenshots pour l'écriture du chapitre 3 de la réalisation.</t>
  </si>
  <si>
    <t>Correction des derniers bugs backend concernant l'importation de stock. Lecture du fichier incorrecte, ne recupère pas les données des bonnes colonnes (1 colonne de décalage)</t>
  </si>
  <si>
    <t>Mise en place des fichiers excel et finalisation de la modélisation de la page de stock et des commandes</t>
  </si>
  <si>
    <t>Tests d'installation de l'environnement docker à l'aide des fichiers compose.yaml et dockerfile. Tests avec la commande "docker compose up" pour mettre en place le système et afficher le site sur un port local concluant et tous fonctionne correctement, ainsi que la commande "docker compose watch" permettant d'effectuer des modification directement dans le container sans avoir à le redémarrer concluant.</t>
  </si>
  <si>
    <t>Correction des endpoints avec les noms des route de la maquette. Ajout de la dernière fonctionnalité manquante permettant d'importer un fichier excel afin d'ajouter ou de commander du stock. Lecture et analyse du fichier Excel, définission des commandes et du stock à importer, création des commandes à afficher à l'utilisateur patron et ajout du stock. Si un article n'existe pas de base, celui-ci est ajouter automatiquement en tant que nouvel article.</t>
  </si>
  <si>
    <t>Réalisation de tous les tests end to end avec cypress : 
1) Connexion et droits utilisateur =&gt; Avec les données de test, la simulation essaye de se connecter à plusieurs utilisateurs dont des faux. Permet de détecter si un message d'erreur s'affiche lorsque le mot de passe ou l'email est incorrect, regarde si la page contient les bons éléments en fonction des droits utilisateur, essaie de se diriger sur une page dont seul les utilisateurs "patron de la chaine" sont autorisés à aller.
2) Pages d'erreur =&gt; Test essayant de se rendre sur une page qui n'existe pas ou que l'utilisateur actuel n'a pas les droit et test les boutons de retour de celles-ci.
3) Importation de stock direct =&gt; Importe un fichier excel ne contenant que des articles à ajouter directement en stock et vérifie si l'importation s'est effectuée correctement en comparant les nombres affichés avant et après l'importation.
4) Commande de stock =&gt; Importe un fichier excel avec plusieurs commandes, vérifie si la commande à été ajoutée dans le tableau de bord avec le status "Pending". Se connecte avec un utilisateur "patron" et accepte une commande et en refuse une autre. Elle finit par vérifier si le stock à bel est bien été importé.</t>
  </si>
  <si>
    <t>Test de quelques fonctionnalités à la main pour vérifier correctement le rendu (connexion, tri par colonne des tableaux de stock et commandes et importation de stock et commandes)
Lancement de tous les tests cypress end to end afin de tester toute l'application.</t>
  </si>
  <si>
    <t>Finalisation du rapport : Prise de toutes les captures d'écran nécéssaires et synthétisation de tous les chapitres et textes à ajouter le 31 mais et 3 juin, afin de permettre l'écriture du reste le 3juin sans problème rapidement si besoin.</t>
  </si>
  <si>
    <t>Finalisation du rapport : Ecriture du chapitre 3 de la réalisation, arborescence, client et serveur à l'aide de la synthétisation du matin. Mise en place des images et ajout de leurs légendes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</si>
</sst>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80"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0" fontId="2" fillId="17" borderId="57" xfId="0" applyFont="1" applyFill="1" applyBorder="1"/>
    <xf numFmtId="2" fontId="12" fillId="18" borderId="63" xfId="0" applyNumberFormat="1" applyFont="1" applyFill="1" applyBorder="1" applyAlignment="1">
      <alignment horizontal="center" vertical="center"/>
    </xf>
    <xf numFmtId="0" fontId="0" fillId="0" borderId="2" xfId="0"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15" fontId="14" fillId="9" borderId="0" xfId="0" applyNumberFormat="1" applyFont="1"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cellXfs>
  <cellStyles count="2">
    <cellStyle name="Lien hypertexte" xfId="1" builtinId="8"/>
    <cellStyle name="Normal" xfId="0" builtinId="0" customBuiltin="1"/>
  </cellStyles>
  <dxfs count="5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5"/>
              <c:pt idx="0">
                <c:v>Absences - imprévus </c:v>
              </c:pt>
              <c:pt idx="1">
                <c:v>Analyse - Planification initiale</c:v>
              </c:pt>
              <c:pt idx="2">
                <c:v>Analyse - Reflexions</c:v>
              </c:pt>
              <c:pt idx="3">
                <c:v>Analyse - Conception de l'api Flask</c:v>
              </c:pt>
              <c:pt idx="4">
                <c:v>Doc - Journal de travail</c:v>
              </c:pt>
              <c:pt idx="5">
                <c:v>Doc - Rapport</c:v>
              </c:pt>
              <c:pt idx="6">
                <c:v>Doc - Shémas</c:v>
              </c:pt>
              <c:pt idx="7">
                <c:v>Implémentation - Configuration de l'environnement</c:v>
              </c:pt>
              <c:pt idx="8">
                <c:v>Implémentation - Base de données</c:v>
              </c:pt>
              <c:pt idx="9">
                <c:v>Implémentation - Réalisation du front-end</c:v>
              </c:pt>
              <c:pt idx="10">
                <c:v>Implémentation - Réalisation du back-end</c:v>
              </c:pt>
              <c:pt idx="11">
                <c:v>Tests - Réalisation des tests end to end</c:v>
              </c:pt>
              <c:pt idx="12">
                <c:v>Tests - Installation docker</c:v>
              </c:pt>
              <c:pt idx="13">
                <c:v>Tests - Fonctionnalités</c:v>
              </c:pt>
            </c:strLit>
          </c:cat>
          <c:val>
            <c:numLit>
              <c:formatCode>General</c:formatCode>
              <c:ptCount val="15"/>
              <c:pt idx="0">
                <c:v>0</c:v>
              </c:pt>
              <c:pt idx="1">
                <c:v>7</c:v>
              </c:pt>
              <c:pt idx="2">
                <c:v>0.5</c:v>
              </c:pt>
              <c:pt idx="3">
                <c:v>1</c:v>
              </c:pt>
              <c:pt idx="4">
                <c:v>2.0799999237060547</c:v>
              </c:pt>
              <c:pt idx="5">
                <c:v>20.5</c:v>
              </c:pt>
              <c:pt idx="6">
                <c:v>4</c:v>
              </c:pt>
              <c:pt idx="7">
                <c:v>2.25</c:v>
              </c:pt>
              <c:pt idx="8">
                <c:v>1</c:v>
              </c:pt>
              <c:pt idx="9">
                <c:v>24.170000076293945</c:v>
              </c:pt>
              <c:pt idx="10">
                <c:v>11</c:v>
              </c:pt>
              <c:pt idx="11">
                <c:v>5.1700000762939453</c:v>
              </c:pt>
              <c:pt idx="12">
                <c:v>2.5799999237060547</c:v>
              </c:pt>
              <c:pt idx="13">
                <c:v>2.0799999237060547</c:v>
              </c:pt>
              <c:pt idx="14">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en-US"/>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en-US"/>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44</xdr:col>
          <xdr:colOff>28575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064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8809" y="91109"/>
          <a:ext cx="1888434" cy="538369"/>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885825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60" t="s">
        <v>32</v>
      </c>
      <c r="C35" s="160"/>
      <c r="D35" s="160"/>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61" t="s">
        <v>33</v>
      </c>
      <c r="C37" s="161"/>
      <c r="D37" s="161"/>
      <c r="E37" s="93" t="s">
        <v>41</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29</v>
      </c>
      <c r="E39" s="158" t="s">
        <v>116</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EX99"/>
  <sheetViews>
    <sheetView showGridLines="0" topLeftCell="A4" zoomScale="55" zoomScaleNormal="55" zoomScaleSheetLayoutView="43" workbookViewId="0">
      <selection activeCell="BG25" sqref="BG25"/>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23.140625" style="2" customWidth="1"/>
    <col min="6" max="1505" width="1.140625" style="2" customWidth="1"/>
    <col min="1506" max="1506" width="2.7109375" style="2" customWidth="1"/>
    <col min="1507" max="16384" width="11.42578125" style="2"/>
  </cols>
  <sheetData>
    <row r="1" spans="1:1506" ht="35.1" customHeight="1" x14ac:dyDescent="0.25">
      <c r="B1" s="80"/>
      <c r="C1" s="193" t="s">
        <v>30</v>
      </c>
      <c r="D1" s="193"/>
      <c r="E1" s="19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8">
        <v>1</v>
      </c>
    </row>
    <row r="2" spans="1:150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5"/>
    </row>
    <row r="3" spans="1:1506" ht="30" customHeight="1" x14ac:dyDescent="0.25">
      <c r="B3" s="53"/>
      <c r="C3" s="5" t="s">
        <v>0</v>
      </c>
      <c r="D3" s="123"/>
      <c r="E3" s="6" t="s">
        <v>48</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5"/>
    </row>
    <row r="4" spans="1:1506" ht="30" customHeight="1" x14ac:dyDescent="0.25">
      <c r="B4" s="53"/>
      <c r="C4" s="9" t="s">
        <v>6</v>
      </c>
      <c r="D4" s="124"/>
      <c r="E4" s="10" t="s">
        <v>49</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5"/>
    </row>
    <row r="5" spans="1:1506" ht="30" customHeight="1" x14ac:dyDescent="0.25">
      <c r="B5" s="53"/>
      <c r="C5" s="9" t="s">
        <v>1</v>
      </c>
      <c r="D5" s="124"/>
      <c r="E5" s="10" t="s">
        <v>50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5"/>
    </row>
    <row r="6" spans="1:1506" ht="30" customHeight="1" thickBot="1" x14ac:dyDescent="0.3">
      <c r="B6" s="53"/>
      <c r="C6" s="13" t="s">
        <v>2</v>
      </c>
      <c r="D6" s="125"/>
      <c r="E6" s="14" t="s">
        <v>51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5"/>
    </row>
    <row r="7" spans="1:1506" ht="20.100000000000001" customHeight="1" thickBot="1" x14ac:dyDescent="0.3">
      <c r="B7" s="53"/>
      <c r="C7" s="194"/>
      <c r="D7" s="194"/>
      <c r="E7" s="19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5"/>
    </row>
    <row r="8" spans="1:1506" ht="30" customHeight="1" x14ac:dyDescent="0.25">
      <c r="B8" s="53"/>
      <c r="C8" s="5" t="s">
        <v>3</v>
      </c>
      <c r="D8" s="123"/>
      <c r="E8" s="6" t="s">
        <v>52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5"/>
    </row>
    <row r="9" spans="1:1506" ht="30" customHeight="1" x14ac:dyDescent="0.25">
      <c r="B9" s="53"/>
      <c r="C9" s="9" t="s">
        <v>17</v>
      </c>
      <c r="D9" s="124"/>
      <c r="E9" s="10" t="s">
        <v>21</v>
      </c>
      <c r="F9" s="11"/>
      <c r="G9" s="185" t="str">
        <f>E96</f>
        <v>83h20min</v>
      </c>
      <c r="H9" s="185"/>
      <c r="I9" s="185"/>
      <c r="J9" s="185"/>
      <c r="K9" s="185"/>
      <c r="L9" s="185"/>
      <c r="M9" s="185"/>
      <c r="N9" s="185"/>
      <c r="O9" s="185"/>
      <c r="P9" s="185"/>
      <c r="Q9" s="185"/>
      <c r="R9" s="185"/>
      <c r="S9" s="185"/>
      <c r="T9" s="185"/>
      <c r="U9" s="185"/>
      <c r="V9" s="103"/>
      <c r="W9" s="184" t="s">
        <v>22</v>
      </c>
      <c r="X9" s="184"/>
      <c r="Y9" s="184"/>
      <c r="Z9" s="184"/>
      <c r="AA9" s="184"/>
      <c r="AB9" s="184"/>
      <c r="AC9" s="184"/>
      <c r="AD9" s="184"/>
      <c r="AE9" s="184"/>
      <c r="AF9" s="184"/>
      <c r="AG9" s="184"/>
      <c r="AH9" s="185" t="str">
        <f>E98</f>
        <v>0h</v>
      </c>
      <c r="AI9" s="185"/>
      <c r="AJ9" s="185"/>
      <c r="AK9" s="185"/>
      <c r="AL9" s="185"/>
      <c r="AM9" s="185"/>
      <c r="AN9" s="185"/>
      <c r="AO9" s="185"/>
      <c r="AP9" s="185"/>
      <c r="AQ9" s="185"/>
      <c r="AR9" s="185"/>
      <c r="AS9" s="185"/>
      <c r="AT9" s="185"/>
      <c r="AU9" s="185"/>
      <c r="AV9" s="185"/>
      <c r="AW9" s="185"/>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5"/>
    </row>
    <row r="10" spans="1:150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6"/>
      <c r="BO10" s="186"/>
      <c r="BP10" s="186"/>
      <c r="BQ10" s="186"/>
      <c r="BR10" s="186"/>
      <c r="BS10" s="186"/>
      <c r="BT10" s="186"/>
      <c r="BU10" s="186"/>
      <c r="BV10" s="186"/>
      <c r="BW10" s="186"/>
      <c r="BX10" s="186"/>
      <c r="BY10" s="186"/>
      <c r="BZ10" s="186"/>
      <c r="CA10" s="186"/>
      <c r="CB10" s="186"/>
      <c r="CC10" s="186"/>
      <c r="CD10" s="186"/>
      <c r="CE10" s="186"/>
      <c r="CF10" s="186"/>
      <c r="CG10" s="186"/>
      <c r="CH10" s="186"/>
      <c r="CI10" s="186"/>
      <c r="CJ10" s="186"/>
      <c r="CK10" s="186"/>
      <c r="CL10" s="186"/>
      <c r="CM10" s="186"/>
      <c r="CN10" s="186"/>
      <c r="CO10" s="186"/>
      <c r="CP10" s="186"/>
      <c r="CQ10" s="77"/>
      <c r="CR10" s="162"/>
      <c r="CS10" s="162"/>
      <c r="CT10" s="162"/>
      <c r="CU10" s="162"/>
      <c r="CV10" s="162"/>
      <c r="CW10" s="162"/>
      <c r="CX10" s="162"/>
      <c r="CY10" s="162"/>
      <c r="CZ10" s="162"/>
      <c r="DA10" s="162"/>
      <c r="DB10" s="162"/>
      <c r="DC10" s="162"/>
      <c r="DD10" s="162"/>
      <c r="DE10" s="162"/>
      <c r="DF10" s="162"/>
      <c r="DG10" s="162"/>
      <c r="DH10" s="162"/>
      <c r="DI10" s="162"/>
      <c r="DJ10" s="162"/>
      <c r="DK10" s="162"/>
      <c r="DL10" s="162"/>
      <c r="DM10" s="162"/>
      <c r="DN10" s="162"/>
      <c r="DO10" s="162"/>
      <c r="DP10" s="162"/>
      <c r="DQ10" s="162"/>
      <c r="DR10" s="162"/>
      <c r="DS10" s="162"/>
      <c r="DT10" s="162"/>
      <c r="DU10" s="162"/>
      <c r="DV10" s="162"/>
      <c r="DW10" s="162"/>
      <c r="DX10" s="162"/>
      <c r="DY10" s="162"/>
      <c r="DZ10" s="162"/>
      <c r="EA10" s="162"/>
      <c r="EB10" s="162"/>
      <c r="EC10" s="162"/>
      <c r="ED10" s="162"/>
      <c r="EE10" s="162"/>
      <c r="EF10" s="162"/>
      <c r="EG10" s="162"/>
      <c r="EH10" s="162"/>
      <c r="EI10" s="162"/>
      <c r="EJ10" s="162"/>
      <c r="EK10" s="162"/>
      <c r="EL10" s="162"/>
      <c r="EM10" s="162"/>
      <c r="EN10" s="162"/>
      <c r="EO10" s="162"/>
      <c r="EP10" s="162"/>
      <c r="EQ10" s="162"/>
      <c r="ER10" s="162"/>
      <c r="ES10" s="162"/>
      <c r="ET10" s="162"/>
      <c r="EU10" s="162"/>
      <c r="EV10" s="162"/>
      <c r="EW10" s="162"/>
      <c r="EX10" s="162"/>
      <c r="EY10" s="162"/>
      <c r="EZ10" s="162"/>
      <c r="FA10" s="162"/>
      <c r="FB10" s="162"/>
      <c r="FC10" s="162"/>
      <c r="FD10" s="162"/>
      <c r="FE10" s="162"/>
      <c r="FF10" s="162"/>
      <c r="FG10" s="162"/>
      <c r="FH10" s="162"/>
      <c r="FI10" s="162"/>
      <c r="FJ10" s="162"/>
      <c r="FK10" s="162"/>
      <c r="FL10" s="162"/>
      <c r="FM10" s="162"/>
      <c r="FN10" s="162"/>
      <c r="FO10" s="162"/>
      <c r="FP10" s="162"/>
      <c r="FQ10" s="162"/>
      <c r="FR10" s="162"/>
      <c r="FS10" s="162"/>
      <c r="FT10" s="162"/>
      <c r="FU10" s="162"/>
      <c r="FV10" s="162"/>
      <c r="FW10" s="162"/>
      <c r="FX10" s="162"/>
      <c r="FY10" s="162"/>
      <c r="FZ10" s="162"/>
      <c r="GA10" s="162"/>
      <c r="GB10" s="162"/>
      <c r="GC10" s="162"/>
      <c r="GD10" s="162"/>
      <c r="GE10" s="162"/>
      <c r="GF10" s="162"/>
      <c r="GG10" s="162"/>
      <c r="GH10" s="162"/>
      <c r="GI10" s="162"/>
      <c r="GJ10" s="162"/>
      <c r="GK10" s="162"/>
      <c r="GL10" s="162"/>
      <c r="GM10" s="162"/>
      <c r="GN10" s="162"/>
      <c r="GO10" s="162"/>
      <c r="GP10" s="162"/>
      <c r="GQ10" s="162"/>
      <c r="GR10" s="162"/>
      <c r="GS10" s="162"/>
      <c r="GT10" s="162"/>
      <c r="GU10" s="162"/>
      <c r="GV10" s="162"/>
      <c r="GW10" s="162"/>
      <c r="GX10" s="162"/>
      <c r="GY10" s="162"/>
      <c r="GZ10" s="162"/>
      <c r="HA10" s="162"/>
      <c r="HB10" s="162"/>
      <c r="HC10" s="162"/>
      <c r="HD10" s="162"/>
      <c r="HE10" s="162"/>
      <c r="HF10" s="162"/>
      <c r="HG10" s="162"/>
      <c r="HH10" s="162"/>
      <c r="HI10" s="162"/>
      <c r="HJ10" s="162"/>
      <c r="HK10" s="162"/>
      <c r="HL10" s="162"/>
      <c r="HM10" s="162"/>
      <c r="HN10" s="162"/>
      <c r="HO10" s="162"/>
      <c r="HP10" s="162"/>
      <c r="HQ10" s="162"/>
      <c r="HR10" s="162"/>
      <c r="HS10" s="162"/>
      <c r="HT10" s="162"/>
      <c r="HU10" s="162"/>
      <c r="HV10" s="162"/>
      <c r="HW10" s="162"/>
      <c r="HX10" s="162"/>
      <c r="HY10" s="162"/>
      <c r="HZ10" s="162"/>
      <c r="IA10" s="162"/>
      <c r="IB10" s="162"/>
      <c r="IC10" s="162"/>
      <c r="ID10" s="162"/>
      <c r="IE10" s="162"/>
      <c r="IF10" s="162"/>
      <c r="IG10" s="162"/>
      <c r="IH10" s="162"/>
      <c r="II10" s="162"/>
      <c r="IJ10" s="162"/>
      <c r="IK10" s="162"/>
      <c r="IL10" s="162"/>
      <c r="IM10" s="162"/>
      <c r="IN10" s="162"/>
      <c r="IO10" s="162"/>
      <c r="IP10" s="162"/>
      <c r="IQ10" s="162"/>
      <c r="IR10" s="162"/>
      <c r="IS10" s="162"/>
      <c r="IT10" s="162"/>
      <c r="IU10" s="162"/>
      <c r="IV10" s="162"/>
      <c r="IW10" s="162"/>
      <c r="IX10" s="162"/>
      <c r="IY10" s="162"/>
      <c r="IZ10" s="162"/>
      <c r="JA10" s="162"/>
      <c r="JB10" s="162"/>
      <c r="JC10" s="162"/>
      <c r="JD10" s="162"/>
      <c r="JE10" s="162"/>
      <c r="JF10" s="162"/>
      <c r="JG10" s="162"/>
      <c r="JH10" s="162"/>
      <c r="JI10" s="162"/>
      <c r="JJ10" s="162"/>
      <c r="JK10" s="162"/>
      <c r="JL10" s="162"/>
      <c r="JM10" s="162"/>
      <c r="JN10" s="162"/>
      <c r="JO10" s="162"/>
      <c r="JP10" s="162"/>
      <c r="JQ10" s="162"/>
      <c r="JR10" s="162"/>
      <c r="JS10" s="162"/>
      <c r="JT10" s="162"/>
      <c r="JU10" s="162"/>
      <c r="JV10" s="162"/>
      <c r="JW10" s="162"/>
      <c r="JX10" s="162"/>
      <c r="JY10" s="162"/>
      <c r="JZ10" s="162"/>
      <c r="KA10" s="162"/>
      <c r="KB10" s="162"/>
      <c r="KC10" s="162"/>
      <c r="KD10" s="162"/>
      <c r="KE10" s="162"/>
      <c r="KF10" s="162"/>
      <c r="KG10" s="162"/>
      <c r="KH10" s="162"/>
      <c r="KI10" s="162"/>
      <c r="KJ10" s="162"/>
      <c r="KK10" s="162"/>
      <c r="KL10" s="162"/>
      <c r="KM10" s="162"/>
      <c r="KN10" s="162"/>
      <c r="KO10" s="162"/>
      <c r="KP10" s="162"/>
      <c r="KQ10" s="162"/>
      <c r="KR10" s="162"/>
      <c r="KS10" s="162"/>
      <c r="KT10" s="162"/>
      <c r="KU10" s="162"/>
      <c r="KV10" s="162"/>
      <c r="KW10" s="162"/>
      <c r="KX10" s="162"/>
      <c r="KY10" s="162"/>
      <c r="KZ10" s="162"/>
      <c r="LA10" s="162"/>
      <c r="LB10" s="162"/>
      <c r="LC10" s="162"/>
      <c r="LD10" s="162"/>
      <c r="LE10" s="162"/>
      <c r="LF10" s="162"/>
      <c r="LG10" s="162"/>
      <c r="LH10" s="162"/>
      <c r="LI10" s="162"/>
      <c r="LJ10" s="162"/>
      <c r="LK10" s="162"/>
      <c r="LL10" s="162"/>
      <c r="LM10" s="162"/>
      <c r="LN10" s="162"/>
      <c r="LO10" s="162"/>
      <c r="LP10" s="162"/>
      <c r="LQ10" s="162"/>
      <c r="LR10" s="162"/>
      <c r="LS10" s="162"/>
      <c r="LT10" s="162"/>
      <c r="LU10" s="162"/>
      <c r="LV10" s="162"/>
      <c r="LW10" s="162"/>
      <c r="LX10" s="162"/>
      <c r="LY10" s="162"/>
      <c r="LZ10" s="162"/>
      <c r="MA10" s="162"/>
      <c r="MB10" s="162"/>
      <c r="MC10" s="162"/>
      <c r="MD10" s="162"/>
      <c r="ME10" s="162"/>
      <c r="MF10" s="162"/>
      <c r="MG10" s="162"/>
      <c r="MH10" s="162"/>
      <c r="MI10" s="162"/>
      <c r="MJ10" s="162"/>
      <c r="MK10" s="162"/>
      <c r="ML10" s="162"/>
      <c r="MM10" s="162"/>
      <c r="MN10" s="162"/>
      <c r="MO10" s="162"/>
      <c r="MP10" s="162"/>
      <c r="MQ10" s="162"/>
      <c r="MR10" s="162"/>
      <c r="MS10" s="162"/>
      <c r="MT10" s="162"/>
      <c r="MU10" s="162"/>
      <c r="MV10" s="162"/>
      <c r="MW10" s="162"/>
      <c r="MX10" s="162"/>
      <c r="MY10" s="162"/>
      <c r="MZ10" s="162"/>
      <c r="NA10" s="162"/>
      <c r="NB10" s="162"/>
      <c r="NC10" s="162"/>
      <c r="ND10" s="162"/>
      <c r="NE10" s="162"/>
      <c r="NF10" s="162"/>
      <c r="NG10" s="162"/>
      <c r="NH10" s="162"/>
      <c r="NI10" s="162"/>
      <c r="NJ10" s="162"/>
      <c r="NK10" s="162"/>
      <c r="NL10" s="162"/>
      <c r="NM10" s="162"/>
      <c r="NN10" s="162"/>
      <c r="NO10" s="162"/>
      <c r="NP10" s="162"/>
      <c r="NQ10" s="162"/>
      <c r="NR10" s="162"/>
      <c r="NS10" s="162"/>
      <c r="NT10" s="162"/>
      <c r="NU10" s="162"/>
      <c r="NV10" s="162"/>
      <c r="NW10" s="162"/>
      <c r="NX10" s="162"/>
      <c r="NY10" s="162"/>
      <c r="NZ10" s="162"/>
      <c r="OA10" s="162"/>
      <c r="OB10" s="162"/>
      <c r="OC10" s="162"/>
      <c r="OD10" s="162"/>
      <c r="OE10" s="162"/>
      <c r="OF10" s="162"/>
      <c r="OG10" s="162"/>
      <c r="OH10" s="162"/>
      <c r="OI10" s="162"/>
      <c r="OJ10" s="162"/>
      <c r="OK10" s="162"/>
      <c r="OL10" s="162"/>
      <c r="OM10" s="162"/>
      <c r="ON10" s="162"/>
      <c r="OO10" s="162"/>
      <c r="OP10" s="162"/>
      <c r="OQ10" s="162"/>
      <c r="OR10" s="162"/>
      <c r="OS10" s="162"/>
      <c r="OT10" s="162"/>
      <c r="OU10" s="162"/>
      <c r="OV10" s="162"/>
      <c r="OW10" s="162"/>
      <c r="OX10" s="162"/>
      <c r="OY10" s="162"/>
      <c r="OZ10" s="162"/>
      <c r="PA10" s="162"/>
      <c r="PB10" s="162"/>
      <c r="PC10" s="162"/>
      <c r="PD10" s="162"/>
      <c r="PE10" s="162"/>
      <c r="PF10" s="162"/>
      <c r="PG10" s="162"/>
      <c r="PH10" s="162"/>
      <c r="PI10" s="162"/>
      <c r="PJ10" s="162"/>
      <c r="PK10" s="162"/>
      <c r="PL10" s="162"/>
      <c r="PM10" s="162"/>
      <c r="PN10" s="162"/>
      <c r="PO10" s="162"/>
      <c r="PP10" s="162"/>
      <c r="PQ10" s="162"/>
      <c r="PR10" s="162"/>
      <c r="PS10" s="162"/>
      <c r="PT10" s="162"/>
      <c r="PU10" s="162"/>
      <c r="PV10" s="162"/>
      <c r="PW10" s="162"/>
      <c r="PX10" s="162"/>
      <c r="PY10" s="162"/>
      <c r="PZ10" s="162"/>
      <c r="QA10" s="162"/>
      <c r="QB10" s="162"/>
      <c r="QC10" s="162"/>
      <c r="QD10" s="162"/>
      <c r="QE10" s="162"/>
      <c r="QF10" s="162"/>
      <c r="QG10" s="162"/>
      <c r="QH10" s="162"/>
      <c r="QI10" s="162"/>
      <c r="QJ10" s="162"/>
      <c r="QK10" s="162"/>
      <c r="QL10" s="162"/>
      <c r="QM10" s="162"/>
      <c r="QN10" s="162"/>
      <c r="QO10" s="162"/>
      <c r="QP10" s="162"/>
      <c r="QQ10" s="162"/>
      <c r="QR10" s="162"/>
      <c r="QS10" s="162"/>
      <c r="QT10" s="162"/>
      <c r="QU10" s="162"/>
      <c r="QV10" s="162"/>
      <c r="QW10" s="162"/>
      <c r="QX10" s="162"/>
      <c r="QY10" s="162"/>
      <c r="QZ10" s="162"/>
      <c r="RA10" s="162"/>
      <c r="RB10" s="162"/>
      <c r="RC10" s="162"/>
      <c r="RD10" s="162"/>
      <c r="RE10" s="162"/>
      <c r="RF10" s="162"/>
      <c r="RG10" s="162"/>
      <c r="RH10" s="162"/>
      <c r="RI10" s="162"/>
      <c r="RJ10" s="162"/>
      <c r="RK10" s="162"/>
      <c r="RL10" s="162"/>
      <c r="RM10" s="162"/>
      <c r="RN10" s="162"/>
      <c r="RO10" s="162"/>
      <c r="RP10" s="162"/>
      <c r="RQ10" s="162"/>
      <c r="RR10" s="162"/>
      <c r="RS10" s="162"/>
      <c r="RT10" s="162"/>
      <c r="RU10" s="162"/>
      <c r="RV10" s="162"/>
      <c r="RW10" s="162"/>
      <c r="RX10" s="162"/>
      <c r="RY10" s="162"/>
      <c r="RZ10" s="162"/>
      <c r="SA10" s="162"/>
      <c r="SB10" s="162"/>
      <c r="SC10" s="162"/>
      <c r="SD10" s="162"/>
      <c r="SE10" s="162"/>
      <c r="SF10" s="162"/>
      <c r="SG10" s="162"/>
      <c r="SH10" s="162"/>
      <c r="SI10" s="162"/>
      <c r="SJ10" s="162"/>
      <c r="SK10" s="162"/>
      <c r="SL10" s="162"/>
      <c r="SM10" s="162"/>
      <c r="SN10" s="162"/>
      <c r="SO10" s="162"/>
      <c r="SP10" s="162"/>
      <c r="SQ10" s="162"/>
      <c r="SR10" s="162"/>
      <c r="SS10" s="162"/>
      <c r="ST10" s="162"/>
      <c r="SU10" s="162"/>
      <c r="SV10" s="162"/>
      <c r="SW10" s="162"/>
      <c r="SX10" s="162"/>
      <c r="SY10" s="162"/>
      <c r="SZ10" s="162"/>
      <c r="TA10" s="162"/>
      <c r="TB10" s="162"/>
      <c r="TC10" s="162"/>
      <c r="TD10" s="162"/>
      <c r="TE10" s="162"/>
      <c r="TF10" s="162"/>
      <c r="TG10" s="162"/>
      <c r="TH10" s="162"/>
      <c r="TI10" s="162"/>
      <c r="TJ10" s="162"/>
      <c r="TK10" s="162"/>
      <c r="TL10" s="162"/>
      <c r="TM10" s="162"/>
      <c r="TN10" s="162"/>
      <c r="TO10" s="162"/>
      <c r="TP10" s="162"/>
      <c r="TQ10" s="162"/>
      <c r="TR10" s="162"/>
      <c r="TS10" s="162"/>
      <c r="TT10" s="162"/>
      <c r="TU10" s="162"/>
      <c r="TV10" s="162"/>
      <c r="TW10" s="162"/>
      <c r="TX10" s="162"/>
      <c r="TY10" s="162"/>
      <c r="TZ10" s="162"/>
      <c r="UA10" s="162"/>
      <c r="UB10" s="162"/>
      <c r="UC10" s="162"/>
      <c r="UD10" s="162"/>
      <c r="UE10" s="162"/>
      <c r="UF10" s="162"/>
      <c r="UG10" s="162"/>
      <c r="UH10" s="162"/>
      <c r="UI10" s="162"/>
      <c r="UJ10" s="162"/>
      <c r="UK10" s="162"/>
      <c r="UL10" s="162"/>
      <c r="UM10" s="162"/>
      <c r="UN10" s="162"/>
      <c r="UO10" s="162"/>
      <c r="UP10" s="162"/>
      <c r="UQ10" s="162"/>
      <c r="UR10" s="162"/>
      <c r="US10" s="162"/>
      <c r="UT10" s="162"/>
      <c r="UU10" s="162"/>
      <c r="UV10" s="162"/>
      <c r="UW10" s="162"/>
      <c r="UX10" s="162"/>
      <c r="UY10" s="162"/>
      <c r="UZ10" s="162"/>
      <c r="VA10" s="162"/>
      <c r="VB10" s="162"/>
      <c r="VC10" s="162"/>
      <c r="VD10" s="162"/>
      <c r="VE10" s="162"/>
      <c r="VF10" s="162"/>
      <c r="VG10" s="162"/>
      <c r="VH10" s="162"/>
      <c r="VI10" s="162"/>
      <c r="VJ10" s="162"/>
      <c r="VK10" s="162"/>
      <c r="VL10" s="162"/>
      <c r="VM10" s="162"/>
      <c r="VN10" s="162"/>
      <c r="VO10" s="162"/>
      <c r="VP10" s="162"/>
      <c r="VQ10" s="162"/>
      <c r="VR10" s="162"/>
      <c r="VS10" s="162"/>
      <c r="VT10" s="162"/>
      <c r="VU10" s="162"/>
      <c r="VV10" s="162"/>
      <c r="VW10" s="162"/>
      <c r="VX10" s="162"/>
      <c r="VY10" s="162"/>
      <c r="VZ10" s="162"/>
      <c r="WA10" s="162"/>
      <c r="WB10" s="162"/>
      <c r="WC10" s="162"/>
      <c r="WD10" s="162"/>
      <c r="WE10" s="162"/>
      <c r="WF10" s="162"/>
      <c r="WG10" s="162"/>
      <c r="WH10" s="162"/>
      <c r="WI10" s="162"/>
      <c r="WJ10" s="162"/>
      <c r="WK10" s="162"/>
      <c r="WL10" s="162"/>
      <c r="WM10" s="162"/>
      <c r="WN10" s="162"/>
      <c r="WO10" s="162"/>
      <c r="WP10" s="162"/>
      <c r="WQ10" s="162"/>
      <c r="WR10" s="162"/>
      <c r="WS10" s="162"/>
      <c r="WT10" s="162"/>
      <c r="WU10" s="162"/>
      <c r="WV10" s="162"/>
      <c r="WW10" s="162"/>
      <c r="WX10" s="162"/>
      <c r="WY10" s="162"/>
      <c r="WZ10" s="162"/>
      <c r="XA10" s="162"/>
      <c r="XB10" s="162"/>
      <c r="XC10" s="162"/>
      <c r="XD10" s="162"/>
      <c r="XE10" s="162"/>
      <c r="XF10" s="162"/>
      <c r="XG10" s="162"/>
      <c r="XH10" s="162"/>
      <c r="XI10" s="162"/>
      <c r="XJ10" s="162"/>
      <c r="XK10" s="162"/>
      <c r="XL10" s="162"/>
      <c r="XM10" s="162"/>
      <c r="XN10" s="162"/>
      <c r="XO10" s="162"/>
      <c r="XP10" s="162"/>
      <c r="XQ10" s="162"/>
      <c r="XR10" s="162"/>
      <c r="XS10" s="162"/>
      <c r="XT10" s="162"/>
      <c r="XU10" s="162"/>
      <c r="XV10" s="162"/>
      <c r="XW10" s="162"/>
      <c r="XX10" s="162"/>
      <c r="XY10" s="162"/>
      <c r="XZ10" s="162"/>
      <c r="YA10" s="162"/>
      <c r="YB10" s="162"/>
      <c r="YC10" s="162"/>
      <c r="YD10" s="162"/>
      <c r="YE10" s="162"/>
      <c r="YF10" s="162"/>
      <c r="YG10" s="162"/>
      <c r="YH10" s="162"/>
      <c r="YI10" s="162"/>
      <c r="YJ10" s="162"/>
      <c r="YK10" s="162"/>
      <c r="YL10" s="162"/>
      <c r="YM10" s="162"/>
      <c r="YN10" s="162"/>
      <c r="YO10" s="162"/>
      <c r="YP10" s="162"/>
      <c r="YQ10" s="162"/>
      <c r="YR10" s="162"/>
      <c r="YS10" s="162"/>
      <c r="YT10" s="162"/>
      <c r="YU10" s="162"/>
      <c r="YV10" s="162"/>
      <c r="YW10" s="162"/>
      <c r="YX10" s="162"/>
      <c r="YY10" s="162"/>
      <c r="YZ10" s="162"/>
      <c r="ZA10" s="162"/>
      <c r="ZB10" s="162"/>
      <c r="ZC10" s="162"/>
      <c r="ZD10" s="162"/>
      <c r="ZE10" s="162"/>
      <c r="ZF10" s="162"/>
      <c r="ZG10" s="162"/>
      <c r="ZH10" s="162"/>
      <c r="ZI10" s="162"/>
      <c r="ZJ10" s="162"/>
      <c r="ZK10" s="162"/>
      <c r="ZL10" s="162"/>
      <c r="ZM10" s="162"/>
      <c r="ZN10" s="162"/>
      <c r="ZO10" s="162"/>
      <c r="ZP10" s="162"/>
      <c r="ZQ10" s="162"/>
      <c r="ZR10" s="162"/>
      <c r="ZS10" s="162"/>
      <c r="ZT10" s="162"/>
      <c r="ZU10" s="162"/>
      <c r="ZV10" s="162"/>
      <c r="ZW10" s="162"/>
      <c r="ZX10" s="162"/>
      <c r="ZY10" s="162"/>
      <c r="ZZ10" s="162"/>
      <c r="AAA10" s="162"/>
      <c r="AAB10" s="162"/>
      <c r="AAC10" s="162"/>
      <c r="AAD10" s="162"/>
      <c r="AAE10" s="162"/>
      <c r="AAF10" s="162"/>
      <c r="AAG10" s="162"/>
      <c r="AAH10" s="162"/>
      <c r="AAI10" s="162"/>
      <c r="AAJ10" s="162"/>
      <c r="AAK10" s="162"/>
      <c r="AAL10" s="162"/>
      <c r="AAM10" s="162"/>
      <c r="AAN10" s="162"/>
      <c r="AAO10" s="162"/>
      <c r="AAP10" s="162"/>
      <c r="AAQ10" s="162"/>
      <c r="AAR10" s="162"/>
      <c r="AAS10" s="162"/>
      <c r="AAT10" s="162"/>
      <c r="AAU10" s="162"/>
      <c r="AAV10" s="162"/>
      <c r="AAW10" s="162"/>
      <c r="AAX10" s="162"/>
      <c r="AAY10" s="162"/>
      <c r="AAZ10" s="162"/>
      <c r="ABA10" s="162"/>
      <c r="ABB10" s="162"/>
      <c r="ABC10" s="162"/>
      <c r="ABD10" s="162"/>
      <c r="ABE10" s="162"/>
      <c r="ABF10" s="162"/>
      <c r="ABG10" s="162"/>
      <c r="ABH10" s="162"/>
      <c r="ABI10" s="162"/>
      <c r="ABJ10" s="162"/>
      <c r="ABK10" s="162"/>
      <c r="ABL10" s="162"/>
      <c r="ABM10" s="162"/>
      <c r="ABN10" s="162"/>
      <c r="ABO10" s="162"/>
      <c r="ABP10" s="162"/>
      <c r="ABQ10" s="162"/>
      <c r="ABR10" s="162"/>
      <c r="ABS10" s="162"/>
      <c r="ABT10" s="162"/>
      <c r="ABU10" s="162"/>
      <c r="ABV10" s="162"/>
      <c r="ABW10" s="162"/>
      <c r="ABX10" s="162"/>
      <c r="ABY10" s="162"/>
      <c r="ABZ10" s="162"/>
      <c r="ACA10" s="162"/>
      <c r="ACB10" s="162"/>
      <c r="ACC10" s="162"/>
      <c r="ACD10" s="162"/>
      <c r="ACE10" s="162"/>
      <c r="ACF10" s="162"/>
      <c r="ACG10" s="162"/>
      <c r="ACH10" s="162"/>
      <c r="ACI10" s="162"/>
      <c r="ACJ10" s="162"/>
      <c r="ACK10" s="162"/>
      <c r="ACL10" s="162"/>
      <c r="ACM10" s="162"/>
      <c r="ACN10" s="162"/>
      <c r="ACO10" s="162"/>
      <c r="ACP10" s="162"/>
      <c r="ACQ10" s="162"/>
      <c r="ACR10" s="162"/>
      <c r="ACS10" s="162"/>
      <c r="ACT10" s="162"/>
      <c r="ACU10" s="162"/>
      <c r="ACV10" s="162"/>
      <c r="ACW10" s="162"/>
      <c r="ACX10" s="162"/>
      <c r="ACY10" s="162"/>
      <c r="ACZ10" s="162"/>
      <c r="ADA10" s="162"/>
      <c r="ADB10" s="162"/>
      <c r="ADC10" s="162"/>
      <c r="ADD10" s="162"/>
      <c r="ADE10" s="162"/>
      <c r="ADF10" s="162"/>
      <c r="ADG10" s="162"/>
      <c r="ADH10" s="162"/>
      <c r="ADI10" s="162"/>
      <c r="ADJ10" s="162"/>
      <c r="ADK10" s="162"/>
      <c r="ADL10" s="162"/>
      <c r="ADM10" s="162"/>
      <c r="ADN10" s="162"/>
      <c r="ADO10" s="162"/>
      <c r="ADP10" s="162"/>
      <c r="ADQ10" s="162"/>
      <c r="ADR10" s="162"/>
      <c r="ADS10" s="162"/>
      <c r="ADT10" s="162"/>
      <c r="ADU10" s="162"/>
      <c r="ADV10" s="162"/>
      <c r="ADW10" s="162"/>
      <c r="ADX10" s="162"/>
      <c r="ADY10" s="162"/>
      <c r="ADZ10" s="162"/>
      <c r="AEA10" s="162"/>
      <c r="AEB10" s="162"/>
      <c r="AEC10" s="162"/>
      <c r="AED10" s="162"/>
      <c r="AEE10" s="162"/>
      <c r="AEF10" s="162"/>
      <c r="AEG10" s="162"/>
      <c r="AEH10" s="162"/>
      <c r="AEI10" s="162"/>
      <c r="AEJ10" s="162"/>
      <c r="AEK10" s="162"/>
      <c r="AEL10" s="162"/>
      <c r="AEM10" s="162"/>
      <c r="AEN10" s="162"/>
      <c r="AEO10" s="162"/>
      <c r="AEP10" s="162"/>
      <c r="AEQ10" s="162"/>
      <c r="AER10" s="162"/>
      <c r="AES10" s="162"/>
      <c r="AET10" s="162"/>
      <c r="AEU10" s="162"/>
      <c r="AEV10" s="162"/>
      <c r="AEW10" s="162"/>
      <c r="AEX10" s="162"/>
      <c r="AEY10" s="162"/>
      <c r="AEZ10" s="162"/>
      <c r="AFA10" s="162"/>
      <c r="AFB10" s="162"/>
      <c r="AFC10" s="162"/>
      <c r="AFD10" s="162"/>
      <c r="AFE10" s="162"/>
      <c r="AFF10" s="162"/>
      <c r="AFG10" s="162"/>
      <c r="AFH10" s="162"/>
      <c r="AFI10" s="162"/>
      <c r="AFJ10" s="162"/>
      <c r="AFK10" s="162"/>
      <c r="AFL10" s="162"/>
      <c r="AFM10" s="162"/>
      <c r="AFN10" s="162"/>
      <c r="AFO10" s="162"/>
      <c r="AFP10" s="162"/>
      <c r="AFQ10" s="162"/>
      <c r="AFR10" s="162"/>
      <c r="AFS10" s="162"/>
      <c r="AFT10" s="162"/>
      <c r="AFU10" s="162"/>
      <c r="AFV10" s="162"/>
      <c r="AFW10" s="162"/>
      <c r="AFX10" s="162"/>
      <c r="AFY10" s="162"/>
      <c r="AFZ10" s="162"/>
      <c r="AGA10" s="162"/>
      <c r="AGB10" s="162"/>
      <c r="AGC10" s="162"/>
      <c r="AGD10" s="162"/>
      <c r="AGE10" s="162"/>
      <c r="AGF10" s="162"/>
      <c r="AGG10" s="162"/>
      <c r="AGH10" s="162"/>
      <c r="AGI10" s="162"/>
      <c r="AGJ10" s="162"/>
      <c r="AGK10" s="162"/>
      <c r="AGL10" s="162"/>
      <c r="AGM10" s="162"/>
      <c r="AGN10" s="162"/>
      <c r="AGO10" s="162"/>
      <c r="AGP10" s="162"/>
      <c r="AGQ10" s="162"/>
      <c r="AGR10" s="162"/>
      <c r="AGS10" s="162"/>
      <c r="AGT10" s="162"/>
      <c r="AGU10" s="162"/>
      <c r="AGV10" s="162"/>
      <c r="AGW10" s="162"/>
      <c r="AGX10" s="162"/>
      <c r="AGY10" s="162"/>
      <c r="AGZ10" s="162"/>
      <c r="AHA10" s="162"/>
      <c r="AHB10" s="162"/>
      <c r="AHC10" s="162"/>
      <c r="AHD10" s="162"/>
      <c r="AHE10" s="162"/>
      <c r="AHF10" s="162"/>
      <c r="AHG10" s="162"/>
      <c r="AHH10" s="162"/>
      <c r="AHI10" s="162"/>
      <c r="AHJ10" s="162"/>
      <c r="AHK10" s="162"/>
      <c r="AHL10" s="162"/>
      <c r="AHM10" s="162"/>
      <c r="AHN10" s="162"/>
      <c r="AHO10" s="162"/>
      <c r="AHP10" s="162"/>
      <c r="AHQ10" s="162"/>
      <c r="AHR10" s="162"/>
      <c r="AHS10" s="162"/>
      <c r="AHT10" s="162"/>
      <c r="AHU10" s="162"/>
      <c r="AHV10" s="162"/>
      <c r="AHW10" s="162"/>
      <c r="AHX10" s="162"/>
      <c r="AHY10" s="162"/>
      <c r="AHZ10" s="162"/>
      <c r="AIA10" s="162"/>
      <c r="AIB10" s="162"/>
      <c r="AIC10" s="162"/>
      <c r="AID10" s="162"/>
      <c r="AIE10" s="162"/>
      <c r="AIF10" s="162"/>
      <c r="AIG10" s="162"/>
      <c r="AIH10" s="162"/>
      <c r="AII10" s="162"/>
      <c r="AIJ10" s="162"/>
      <c r="AIK10" s="162"/>
      <c r="AIL10" s="162"/>
      <c r="AIM10" s="162"/>
      <c r="AIN10" s="162"/>
      <c r="AIO10" s="162"/>
      <c r="AIP10" s="162"/>
      <c r="AIQ10" s="162"/>
      <c r="AIR10" s="162"/>
      <c r="AIS10" s="162"/>
      <c r="AIT10" s="162"/>
      <c r="AIU10" s="162"/>
      <c r="AIV10" s="162"/>
      <c r="AIW10" s="162"/>
      <c r="AIX10" s="162"/>
      <c r="AIY10" s="162"/>
      <c r="AIZ10" s="162"/>
      <c r="AJA10" s="162"/>
      <c r="AJB10" s="162"/>
      <c r="AJC10" s="162"/>
      <c r="AJD10" s="162"/>
      <c r="AJE10" s="162"/>
      <c r="AJF10" s="162"/>
      <c r="AJG10" s="162"/>
      <c r="AJH10" s="162"/>
      <c r="AJI10" s="162"/>
      <c r="AJJ10" s="162"/>
      <c r="AJK10" s="162"/>
      <c r="AJL10" s="162"/>
      <c r="AJM10" s="162"/>
      <c r="AJN10" s="162"/>
      <c r="AJO10" s="162"/>
      <c r="AJP10" s="162"/>
      <c r="AJQ10" s="162"/>
      <c r="AJR10" s="162"/>
      <c r="AJS10" s="162"/>
      <c r="AJT10" s="162"/>
      <c r="AJU10" s="162"/>
      <c r="AJV10" s="162"/>
      <c r="AJW10" s="162"/>
      <c r="AJX10" s="162"/>
      <c r="AJY10" s="162"/>
      <c r="AJZ10" s="162"/>
      <c r="AKA10" s="162"/>
      <c r="AKB10" s="162"/>
      <c r="AKC10" s="162"/>
      <c r="AKD10" s="162"/>
      <c r="AKE10" s="162"/>
      <c r="AKF10" s="162"/>
      <c r="AKG10" s="162"/>
      <c r="AKH10" s="162"/>
      <c r="AKI10" s="162"/>
      <c r="AKJ10" s="162"/>
      <c r="AKK10" s="162"/>
      <c r="AKL10" s="162"/>
      <c r="AKM10" s="162"/>
      <c r="AKN10" s="162"/>
      <c r="AKO10" s="162"/>
      <c r="AKP10" s="162"/>
      <c r="AKQ10" s="162"/>
      <c r="AKR10" s="162"/>
      <c r="AKS10" s="162"/>
      <c r="AKT10" s="162"/>
      <c r="AKU10" s="162"/>
      <c r="AKV10" s="162"/>
      <c r="AKW10" s="162"/>
      <c r="AKX10" s="162"/>
      <c r="AKY10" s="162"/>
      <c r="AKZ10" s="162"/>
      <c r="ALA10" s="162"/>
      <c r="ALB10" s="162"/>
      <c r="ALC10" s="162"/>
      <c r="ALD10" s="162"/>
      <c r="ALE10" s="162"/>
      <c r="ALF10" s="162"/>
      <c r="ALG10" s="162"/>
      <c r="ALH10" s="162"/>
      <c r="ALI10" s="162"/>
      <c r="ALJ10" s="162"/>
      <c r="ALK10" s="162"/>
      <c r="ALL10" s="162"/>
      <c r="ALM10" s="162"/>
      <c r="ALN10" s="162"/>
      <c r="ALO10" s="162"/>
      <c r="ALP10" s="162"/>
      <c r="ALQ10" s="162"/>
      <c r="ALR10" s="162"/>
      <c r="ALS10" s="162"/>
      <c r="ALT10" s="162"/>
      <c r="ALU10" s="162"/>
      <c r="ALV10" s="162"/>
      <c r="ALW10" s="162"/>
      <c r="ALX10" s="162"/>
      <c r="ALY10" s="162"/>
      <c r="ALZ10" s="162"/>
      <c r="AMA10" s="162"/>
      <c r="AMB10" s="162"/>
      <c r="AMC10" s="162"/>
      <c r="AMD10" s="162"/>
      <c r="AME10" s="162"/>
      <c r="AMF10" s="162"/>
      <c r="AMG10" s="162"/>
      <c r="AMH10" s="162"/>
      <c r="AMI10" s="162"/>
      <c r="AMJ10" s="162"/>
      <c r="AMK10" s="162"/>
      <c r="AML10" s="162"/>
      <c r="AMM10" s="162"/>
      <c r="AMN10" s="162"/>
      <c r="AMO10" s="162"/>
      <c r="AMP10" s="162"/>
      <c r="AMQ10" s="162"/>
      <c r="AMR10" s="162"/>
      <c r="AMS10" s="162"/>
      <c r="AMT10" s="162"/>
      <c r="AMU10" s="162"/>
      <c r="AMV10" s="162"/>
      <c r="AMW10" s="162"/>
      <c r="AMX10" s="162"/>
      <c r="AMY10" s="162"/>
      <c r="AMZ10" s="162"/>
      <c r="ANA10" s="162"/>
      <c r="ANB10" s="162"/>
      <c r="ANC10" s="162"/>
      <c r="AND10" s="162"/>
      <c r="ANE10" s="162"/>
      <c r="ANF10" s="162"/>
      <c r="ANG10" s="162"/>
      <c r="ANH10" s="162"/>
      <c r="ANI10" s="162"/>
      <c r="ANJ10" s="162"/>
      <c r="ANK10" s="162"/>
      <c r="ANL10" s="162"/>
      <c r="ANM10" s="162"/>
      <c r="ANN10" s="162"/>
      <c r="ANO10" s="162"/>
      <c r="ANP10" s="162"/>
      <c r="ANQ10" s="162"/>
      <c r="ANR10" s="162"/>
      <c r="ANS10" s="162"/>
      <c r="ANT10" s="162"/>
      <c r="ANU10" s="162"/>
      <c r="ANV10" s="162"/>
      <c r="ANW10" s="162"/>
      <c r="ANX10" s="162"/>
      <c r="ANY10" s="162"/>
      <c r="ANZ10" s="162"/>
      <c r="AOA10" s="162"/>
      <c r="AOB10" s="162"/>
      <c r="AOC10" s="162"/>
      <c r="AOD10" s="162"/>
      <c r="AOE10" s="162"/>
      <c r="AOF10" s="162"/>
      <c r="AOG10" s="162"/>
      <c r="AOH10" s="162"/>
      <c r="AOI10" s="162"/>
      <c r="AOJ10" s="162"/>
      <c r="AOK10" s="162"/>
      <c r="AOL10" s="162"/>
      <c r="AOM10" s="162"/>
      <c r="AON10" s="162"/>
      <c r="AOO10" s="162"/>
      <c r="AOP10" s="162"/>
      <c r="AOQ10" s="162"/>
      <c r="AOR10" s="162"/>
      <c r="AOS10" s="162"/>
      <c r="AOT10" s="162"/>
      <c r="AOU10" s="162"/>
      <c r="AOV10" s="162"/>
      <c r="AOW10" s="162"/>
      <c r="AOX10" s="162"/>
      <c r="AOY10" s="162"/>
      <c r="AOZ10" s="162"/>
      <c r="APA10" s="162"/>
      <c r="APB10" s="162"/>
      <c r="APC10" s="162"/>
      <c r="APD10" s="162"/>
      <c r="APE10" s="162"/>
      <c r="APF10" s="162"/>
      <c r="APG10" s="162"/>
      <c r="APH10" s="162"/>
      <c r="API10" s="162"/>
      <c r="APJ10" s="162"/>
      <c r="APK10" s="162"/>
      <c r="APL10" s="162"/>
      <c r="APM10" s="162"/>
      <c r="APN10" s="162"/>
      <c r="APO10" s="162"/>
      <c r="APP10" s="162"/>
      <c r="APQ10" s="162"/>
      <c r="APR10" s="162"/>
      <c r="APS10" s="162"/>
      <c r="APT10" s="162"/>
      <c r="APU10" s="162"/>
      <c r="APV10" s="162"/>
      <c r="APW10" s="162"/>
      <c r="APX10" s="162"/>
      <c r="APY10" s="162"/>
      <c r="APZ10" s="162"/>
      <c r="AQA10" s="162"/>
      <c r="AQB10" s="162"/>
      <c r="AQC10" s="162"/>
      <c r="AQD10" s="162"/>
      <c r="AQE10" s="162"/>
      <c r="AQF10" s="162"/>
      <c r="AQG10" s="162"/>
      <c r="AQH10" s="162"/>
      <c r="AQI10" s="162"/>
      <c r="AQJ10" s="162"/>
      <c r="AQK10" s="162"/>
      <c r="AQL10" s="162"/>
      <c r="AQM10" s="162"/>
      <c r="AQN10" s="162"/>
      <c r="AQO10" s="162"/>
      <c r="AQP10" s="162"/>
      <c r="AQQ10" s="162"/>
      <c r="AQR10" s="162"/>
      <c r="AQS10" s="162"/>
      <c r="AQT10" s="162"/>
      <c r="AQU10" s="162"/>
      <c r="AQV10" s="162"/>
      <c r="AQW10" s="162"/>
      <c r="AQX10" s="162"/>
      <c r="AQY10" s="162"/>
      <c r="AQZ10" s="162"/>
      <c r="ARA10" s="162"/>
      <c r="ARB10" s="162"/>
      <c r="ARC10" s="162"/>
      <c r="ARD10" s="162"/>
      <c r="ARE10" s="162"/>
      <c r="ARF10" s="162"/>
      <c r="ARG10" s="162"/>
      <c r="ARH10" s="162"/>
      <c r="ARI10" s="162"/>
      <c r="ARJ10" s="162"/>
      <c r="ARK10" s="162"/>
      <c r="ARL10" s="162"/>
      <c r="ARM10" s="162"/>
      <c r="ARN10" s="162"/>
      <c r="ARO10" s="162"/>
      <c r="ARP10" s="162"/>
      <c r="ARQ10" s="162"/>
      <c r="ARR10" s="162"/>
      <c r="ARS10" s="162"/>
      <c r="ART10" s="162"/>
      <c r="ARU10" s="162"/>
      <c r="ARV10" s="162"/>
      <c r="ARW10" s="162"/>
      <c r="ARX10" s="162"/>
      <c r="ARY10" s="162"/>
      <c r="ARZ10" s="162"/>
      <c r="ASA10" s="162"/>
      <c r="ASB10" s="162"/>
      <c r="ASC10" s="162"/>
      <c r="ASD10" s="162"/>
      <c r="ASE10" s="162"/>
      <c r="ASF10" s="162"/>
      <c r="ASG10" s="162"/>
      <c r="ASH10" s="162"/>
      <c r="ASI10" s="162"/>
      <c r="ASJ10" s="162"/>
      <c r="ASK10" s="162"/>
      <c r="ASL10" s="162"/>
      <c r="ASM10" s="162"/>
      <c r="ASN10" s="162"/>
      <c r="ASO10" s="162"/>
      <c r="ASP10" s="162"/>
      <c r="ASQ10" s="162"/>
      <c r="ASR10" s="162"/>
      <c r="ASS10" s="162"/>
      <c r="AST10" s="162"/>
      <c r="ASU10" s="162"/>
      <c r="ASV10" s="162"/>
      <c r="ASW10" s="162"/>
      <c r="ASX10" s="162"/>
      <c r="ASY10" s="162"/>
      <c r="ASZ10" s="162"/>
      <c r="ATA10" s="162"/>
      <c r="ATB10" s="162"/>
      <c r="ATC10" s="162"/>
      <c r="ATD10" s="162"/>
      <c r="ATE10" s="162"/>
      <c r="ATF10" s="162"/>
      <c r="ATG10" s="162"/>
      <c r="ATH10" s="162"/>
      <c r="ATI10" s="162"/>
      <c r="ATJ10" s="162"/>
      <c r="ATK10" s="162"/>
      <c r="ATL10" s="162"/>
      <c r="ATM10" s="162"/>
      <c r="ATN10" s="162"/>
      <c r="ATO10" s="162"/>
      <c r="ATP10" s="162"/>
      <c r="ATQ10" s="162"/>
      <c r="ATR10" s="162"/>
      <c r="ATS10" s="162"/>
      <c r="ATT10" s="162"/>
      <c r="ATU10" s="162"/>
      <c r="ATV10" s="162"/>
      <c r="ATW10" s="162"/>
      <c r="ATX10" s="162"/>
      <c r="ATY10" s="162"/>
      <c r="ATZ10" s="162"/>
      <c r="AUA10" s="162"/>
      <c r="AUB10" s="162"/>
      <c r="AUC10" s="162"/>
      <c r="AUD10" s="162"/>
      <c r="AUE10" s="162"/>
      <c r="AUF10" s="162"/>
      <c r="AUG10" s="162"/>
      <c r="AUH10" s="162"/>
      <c r="AUI10" s="162"/>
      <c r="AUJ10" s="162"/>
      <c r="AUK10" s="162"/>
      <c r="AUL10" s="162"/>
      <c r="AUM10" s="162"/>
      <c r="AUN10" s="162"/>
      <c r="AUO10" s="162"/>
      <c r="AUP10" s="162"/>
      <c r="AUQ10" s="162"/>
      <c r="AUR10" s="162"/>
      <c r="AUS10" s="162"/>
      <c r="AUT10" s="162"/>
      <c r="AUU10" s="162"/>
      <c r="AUV10" s="162"/>
      <c r="AUW10" s="162"/>
      <c r="AUX10" s="162"/>
      <c r="AUY10" s="162"/>
      <c r="AUZ10" s="162"/>
      <c r="AVA10" s="162"/>
      <c r="AVB10" s="162"/>
      <c r="AVC10" s="162"/>
      <c r="AVD10" s="162"/>
      <c r="AVE10" s="162"/>
      <c r="AVF10" s="162"/>
      <c r="AVG10" s="162"/>
      <c r="AVH10" s="162"/>
      <c r="AVI10" s="162"/>
      <c r="AVJ10" s="162"/>
      <c r="AVK10" s="162"/>
      <c r="AVL10" s="162"/>
      <c r="AVM10" s="162"/>
      <c r="AVN10" s="162"/>
      <c r="AVO10" s="162"/>
      <c r="AVP10" s="162"/>
      <c r="AVQ10" s="162"/>
      <c r="AVR10" s="162"/>
      <c r="AVS10" s="162"/>
      <c r="AVT10" s="162"/>
      <c r="AVU10" s="162"/>
      <c r="AVV10" s="162"/>
      <c r="AVW10" s="162"/>
      <c r="AVX10" s="162"/>
      <c r="AVY10" s="162"/>
      <c r="AVZ10" s="162"/>
      <c r="AWA10" s="162"/>
      <c r="AWB10" s="162"/>
      <c r="AWC10" s="162"/>
      <c r="AWD10" s="162"/>
      <c r="AWE10" s="162"/>
      <c r="AWF10" s="162"/>
      <c r="AWG10" s="162"/>
      <c r="AWH10" s="162"/>
      <c r="AWI10" s="162"/>
      <c r="AWJ10" s="162"/>
      <c r="AWK10" s="162"/>
      <c r="AWL10" s="162"/>
      <c r="AWM10" s="162"/>
      <c r="AWN10" s="162"/>
      <c r="AWO10" s="162"/>
      <c r="AWP10" s="162"/>
      <c r="AWQ10" s="162"/>
      <c r="AWR10" s="162"/>
      <c r="AWS10" s="162"/>
      <c r="AWT10" s="162"/>
      <c r="AWU10" s="162"/>
      <c r="AWV10" s="162"/>
      <c r="AWW10" s="162"/>
      <c r="AWX10" s="162"/>
      <c r="AWY10" s="162"/>
      <c r="AWZ10" s="162"/>
      <c r="AXA10" s="162"/>
      <c r="AXB10" s="162"/>
      <c r="AXC10" s="162"/>
      <c r="AXD10" s="162"/>
      <c r="AXE10" s="162"/>
      <c r="AXF10" s="162"/>
      <c r="AXG10" s="162"/>
      <c r="AXH10" s="162"/>
      <c r="AXI10" s="162"/>
      <c r="AXJ10" s="162"/>
      <c r="AXK10" s="162"/>
      <c r="AXL10" s="162"/>
      <c r="AXM10" s="162"/>
      <c r="AXN10" s="162"/>
      <c r="AXO10" s="162"/>
      <c r="AXP10" s="162"/>
      <c r="AXQ10" s="162"/>
      <c r="AXR10" s="162"/>
      <c r="AXS10" s="162"/>
      <c r="AXT10" s="162"/>
      <c r="AXU10" s="162"/>
      <c r="AXV10" s="162"/>
      <c r="AXW10" s="162"/>
      <c r="AXX10" s="162"/>
      <c r="AXY10" s="162"/>
      <c r="AXZ10" s="162"/>
      <c r="AYA10" s="162"/>
      <c r="AYB10" s="162"/>
      <c r="AYC10" s="162"/>
      <c r="AYD10" s="162"/>
      <c r="AYE10" s="162"/>
      <c r="AYF10" s="162"/>
      <c r="AYG10" s="162"/>
      <c r="AYH10" s="162"/>
      <c r="AYI10" s="162"/>
      <c r="AYJ10" s="162"/>
      <c r="AYK10" s="162"/>
      <c r="AYL10" s="162"/>
      <c r="AYM10" s="162"/>
      <c r="AYN10" s="162"/>
      <c r="AYO10" s="162"/>
      <c r="AYP10" s="162"/>
      <c r="AYQ10" s="162"/>
      <c r="AYR10" s="162"/>
      <c r="AYS10" s="162"/>
      <c r="AYT10" s="162"/>
      <c r="AYU10" s="162"/>
      <c r="AYV10" s="162"/>
      <c r="AYW10" s="162"/>
      <c r="AYX10" s="162"/>
      <c r="AYY10" s="162"/>
      <c r="AYZ10" s="162"/>
      <c r="AZA10" s="162"/>
      <c r="AZB10" s="162"/>
      <c r="AZC10" s="162"/>
      <c r="AZD10" s="162"/>
      <c r="AZE10" s="162"/>
      <c r="AZF10" s="162"/>
      <c r="AZG10" s="162"/>
      <c r="AZH10" s="162"/>
      <c r="AZI10" s="162"/>
      <c r="AZJ10" s="162"/>
      <c r="AZK10" s="162"/>
      <c r="AZL10" s="162"/>
      <c r="AZM10" s="162"/>
      <c r="AZN10" s="162"/>
      <c r="AZO10" s="162"/>
      <c r="AZP10" s="162"/>
      <c r="AZQ10" s="162"/>
      <c r="AZR10" s="162"/>
      <c r="AZS10" s="162"/>
      <c r="AZT10" s="162"/>
      <c r="AZU10" s="162"/>
      <c r="AZV10" s="162"/>
      <c r="AZW10" s="162"/>
      <c r="AZX10" s="162"/>
      <c r="AZY10" s="162"/>
      <c r="AZZ10" s="162"/>
      <c r="BAA10" s="162"/>
      <c r="BAB10" s="162"/>
      <c r="BAC10" s="162"/>
      <c r="BAD10" s="162"/>
      <c r="BAE10" s="162"/>
      <c r="BAF10" s="162"/>
      <c r="BAG10" s="162"/>
      <c r="BAH10" s="162"/>
      <c r="BAI10" s="162"/>
      <c r="BAJ10" s="162"/>
      <c r="BAK10" s="162"/>
      <c r="BAL10" s="162"/>
      <c r="BAM10" s="162"/>
      <c r="BAN10" s="162"/>
      <c r="BAO10" s="162"/>
      <c r="BAP10" s="162"/>
      <c r="BAQ10" s="162"/>
      <c r="BAR10" s="162"/>
      <c r="BAS10" s="162"/>
      <c r="BAT10" s="162"/>
      <c r="BAU10" s="162"/>
      <c r="BAV10" s="162"/>
      <c r="BAW10" s="162"/>
      <c r="BAX10" s="162"/>
      <c r="BAY10" s="162"/>
      <c r="BAZ10" s="162"/>
      <c r="BBA10" s="162"/>
      <c r="BBB10" s="162"/>
      <c r="BBC10" s="162"/>
      <c r="BBD10" s="162"/>
      <c r="BBE10" s="162"/>
      <c r="BBF10" s="162"/>
      <c r="BBG10" s="162"/>
      <c r="BBH10" s="162"/>
      <c r="BBI10" s="162"/>
      <c r="BBJ10" s="162"/>
      <c r="BBK10" s="162"/>
      <c r="BBL10" s="162"/>
      <c r="BBM10" s="162"/>
      <c r="BBN10" s="162"/>
      <c r="BBO10" s="162"/>
      <c r="BBP10" s="162"/>
      <c r="BBQ10" s="162"/>
      <c r="BBR10" s="162"/>
      <c r="BBS10" s="162"/>
      <c r="BBT10" s="162"/>
      <c r="BBU10" s="162"/>
      <c r="BBV10" s="162"/>
      <c r="BBW10" s="162"/>
      <c r="BBX10" s="162"/>
      <c r="BBY10" s="162"/>
      <c r="BBZ10" s="162"/>
      <c r="BCA10" s="162"/>
      <c r="BCB10" s="162"/>
      <c r="BCC10" s="162"/>
      <c r="BCD10" s="162"/>
      <c r="BCE10" s="162"/>
      <c r="BCF10" s="162"/>
      <c r="BCG10" s="162"/>
      <c r="BCH10" s="162"/>
      <c r="BCI10" s="162"/>
      <c r="BCJ10" s="162"/>
      <c r="BCK10" s="162"/>
      <c r="BCL10" s="162"/>
      <c r="BCM10" s="162"/>
      <c r="BCN10" s="162"/>
      <c r="BCO10" s="162"/>
      <c r="BCP10" s="162"/>
      <c r="BCQ10" s="162"/>
      <c r="BCR10" s="162"/>
      <c r="BCS10" s="162"/>
      <c r="BCT10" s="162"/>
      <c r="BCU10" s="162"/>
      <c r="BCV10" s="162"/>
      <c r="BCW10" s="162"/>
      <c r="BCX10" s="162"/>
      <c r="BCY10" s="162"/>
      <c r="BCZ10" s="162"/>
      <c r="BDA10" s="162"/>
      <c r="BDB10" s="162"/>
      <c r="BDC10" s="162"/>
      <c r="BDD10" s="162"/>
      <c r="BDE10" s="162"/>
      <c r="BDF10" s="162"/>
      <c r="BDG10" s="162"/>
      <c r="BDH10" s="162"/>
      <c r="BDI10" s="162"/>
      <c r="BDJ10" s="162"/>
      <c r="BDK10" s="162"/>
      <c r="BDL10" s="162"/>
      <c r="BDM10" s="162"/>
      <c r="BDN10" s="162"/>
      <c r="BDO10" s="162"/>
      <c r="BDP10" s="162"/>
      <c r="BDQ10" s="162"/>
      <c r="BDR10" s="162"/>
      <c r="BDS10" s="162"/>
      <c r="BDT10" s="162"/>
      <c r="BDU10" s="162"/>
      <c r="BDV10" s="162"/>
      <c r="BDW10" s="162"/>
      <c r="BDX10" s="162"/>
      <c r="BDY10" s="162"/>
      <c r="BDZ10" s="162"/>
      <c r="BEA10" s="162"/>
      <c r="BEB10" s="162"/>
      <c r="BEC10" s="162"/>
      <c r="BED10" s="162"/>
      <c r="BEE10" s="162"/>
      <c r="BEF10" s="162"/>
      <c r="BEG10" s="162"/>
      <c r="BEH10" s="162"/>
      <c r="BEI10" s="162"/>
      <c r="BEJ10" s="162"/>
      <c r="BEK10" s="162"/>
      <c r="BEL10" s="162"/>
      <c r="BEM10" s="162"/>
      <c r="BEN10" s="162"/>
      <c r="BEO10" s="162"/>
      <c r="BEP10" s="162"/>
      <c r="BEQ10" s="162"/>
      <c r="BER10" s="162"/>
      <c r="BES10" s="162"/>
      <c r="BET10" s="162"/>
      <c r="BEU10" s="162"/>
      <c r="BEV10" s="162"/>
      <c r="BEW10" s="162"/>
      <c r="BEX10" s="75"/>
    </row>
    <row r="11" spans="1:1506" ht="20.100000000000001" customHeight="1" x14ac:dyDescent="0.25">
      <c r="B11" s="53"/>
      <c r="C11" s="191"/>
      <c r="D11" s="191"/>
      <c r="E11" s="191"/>
      <c r="F11" s="183">
        <v>45414</v>
      </c>
      <c r="G11" s="183"/>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c r="AG11" s="183"/>
      <c r="AH11" s="183"/>
      <c r="AI11" s="183"/>
      <c r="AJ11" s="183"/>
      <c r="AK11" s="183"/>
      <c r="AL11" s="183"/>
      <c r="AM11" s="183"/>
      <c r="AN11" s="183"/>
      <c r="AO11" s="183"/>
      <c r="AP11" s="183"/>
      <c r="AQ11" s="183"/>
      <c r="AR11" s="183"/>
      <c r="AS11" s="183"/>
      <c r="AT11" s="183"/>
      <c r="AU11" s="183"/>
      <c r="AV11" s="183"/>
      <c r="AW11" s="183"/>
      <c r="AX11" s="183"/>
      <c r="AY11" s="183"/>
      <c r="AZ11" s="183"/>
      <c r="BA11" s="183"/>
      <c r="BB11" s="183"/>
      <c r="BC11" s="183"/>
      <c r="BD11" s="183"/>
      <c r="BE11" s="183"/>
      <c r="BF11" s="183"/>
      <c r="BG11" s="183"/>
      <c r="BH11" s="183"/>
      <c r="BI11" s="183"/>
      <c r="BJ11" s="183"/>
      <c r="BK11" s="183"/>
      <c r="BL11" s="183"/>
      <c r="BM11" s="183"/>
      <c r="BN11" s="183">
        <v>45415</v>
      </c>
      <c r="BO11" s="183"/>
      <c r="BP11" s="183"/>
      <c r="BQ11" s="183"/>
      <c r="BR11" s="183"/>
      <c r="BS11" s="183"/>
      <c r="BT11" s="183"/>
      <c r="BU11" s="183"/>
      <c r="BV11" s="183"/>
      <c r="BW11" s="183"/>
      <c r="BX11" s="183"/>
      <c r="BY11" s="183"/>
      <c r="BZ11" s="183"/>
      <c r="CA11" s="183"/>
      <c r="CB11" s="183"/>
      <c r="CC11" s="183"/>
      <c r="CD11" s="183"/>
      <c r="CE11" s="183"/>
      <c r="CF11" s="183"/>
      <c r="CG11" s="183"/>
      <c r="CH11" s="183"/>
      <c r="CI11" s="183"/>
      <c r="CJ11" s="183"/>
      <c r="CK11" s="183"/>
      <c r="CL11" s="183"/>
      <c r="CM11" s="183"/>
      <c r="CN11" s="183"/>
      <c r="CO11" s="183"/>
      <c r="CP11" s="183"/>
      <c r="CQ11" s="183"/>
      <c r="CR11" s="183"/>
      <c r="CS11" s="183"/>
      <c r="CT11" s="183"/>
      <c r="CU11" s="183"/>
      <c r="CV11" s="183"/>
      <c r="CW11" s="183"/>
      <c r="CX11" s="183"/>
      <c r="CY11" s="183"/>
      <c r="CZ11" s="183"/>
      <c r="DA11" s="183"/>
      <c r="DB11" s="183"/>
      <c r="DC11" s="183"/>
      <c r="DD11" s="183"/>
      <c r="DE11" s="183"/>
      <c r="DF11" s="183"/>
      <c r="DG11" s="183"/>
      <c r="DH11" s="183"/>
      <c r="DI11" s="183"/>
      <c r="DJ11" s="183"/>
      <c r="DK11" s="183"/>
      <c r="DL11" s="183"/>
      <c r="DM11" s="183"/>
      <c r="DN11" s="183"/>
      <c r="DO11" s="183"/>
      <c r="DP11" s="183"/>
      <c r="DQ11" s="183"/>
      <c r="DR11" s="183"/>
      <c r="DS11" s="183"/>
      <c r="DT11" s="183"/>
      <c r="DU11" s="183"/>
      <c r="DV11" s="163">
        <v>45415</v>
      </c>
      <c r="DW11" s="164"/>
      <c r="DX11" s="164"/>
      <c r="DY11" s="164"/>
      <c r="DZ11" s="164"/>
      <c r="EA11" s="164"/>
      <c r="EB11" s="164"/>
      <c r="EC11" s="164"/>
      <c r="ED11" s="164"/>
      <c r="EE11" s="164"/>
      <c r="EF11" s="164"/>
      <c r="EG11" s="164"/>
      <c r="EH11" s="164"/>
      <c r="EI11" s="164"/>
      <c r="EJ11" s="164"/>
      <c r="EK11" s="164"/>
      <c r="EL11" s="164"/>
      <c r="EM11" s="164"/>
      <c r="EN11" s="164"/>
      <c r="EO11" s="164"/>
      <c r="EP11" s="164"/>
      <c r="EQ11" s="164"/>
      <c r="ER11" s="164"/>
      <c r="ES11" s="164"/>
      <c r="ET11" s="164"/>
      <c r="EU11" s="164"/>
      <c r="EV11" s="164"/>
      <c r="EW11" s="164"/>
      <c r="EX11" s="164"/>
      <c r="EY11" s="164"/>
      <c r="EZ11" s="164"/>
      <c r="FA11" s="164"/>
      <c r="FB11" s="164"/>
      <c r="FC11" s="164"/>
      <c r="FD11" s="164"/>
      <c r="FE11" s="164"/>
      <c r="FF11" s="164"/>
      <c r="FG11" s="164"/>
      <c r="FH11" s="164"/>
      <c r="FI11" s="164"/>
      <c r="FJ11" s="164"/>
      <c r="FK11" s="164"/>
      <c r="FL11" s="164"/>
      <c r="FM11" s="164"/>
      <c r="FN11" s="164"/>
      <c r="FO11" s="164"/>
      <c r="FP11" s="164"/>
      <c r="FQ11" s="164"/>
      <c r="FR11" s="164"/>
      <c r="FS11" s="164"/>
      <c r="FT11" s="164"/>
      <c r="FU11" s="164"/>
      <c r="FV11" s="164"/>
      <c r="FW11" s="164"/>
      <c r="FX11" s="164"/>
      <c r="FY11" s="164"/>
      <c r="FZ11" s="164"/>
      <c r="GA11" s="164"/>
      <c r="GB11" s="164"/>
      <c r="GC11" s="164"/>
      <c r="GD11" s="163">
        <v>45418</v>
      </c>
      <c r="GE11" s="164"/>
      <c r="GF11" s="164"/>
      <c r="GG11" s="164"/>
      <c r="GH11" s="164"/>
      <c r="GI11" s="164"/>
      <c r="GJ11" s="164"/>
      <c r="GK11" s="164"/>
      <c r="GL11" s="164"/>
      <c r="GM11" s="164"/>
      <c r="GN11" s="164"/>
      <c r="GO11" s="164"/>
      <c r="GP11" s="164"/>
      <c r="GQ11" s="164"/>
      <c r="GR11" s="164"/>
      <c r="GS11" s="164"/>
      <c r="GT11" s="164"/>
      <c r="GU11" s="164"/>
      <c r="GV11" s="164"/>
      <c r="GW11" s="164"/>
      <c r="GX11" s="164"/>
      <c r="GY11" s="164"/>
      <c r="GZ11" s="164"/>
      <c r="HA11" s="164"/>
      <c r="HB11" s="164"/>
      <c r="HC11" s="164"/>
      <c r="HD11" s="164"/>
      <c r="HE11" s="164"/>
      <c r="HF11" s="164"/>
      <c r="HG11" s="164"/>
      <c r="HH11" s="164"/>
      <c r="HI11" s="164"/>
      <c r="HJ11" s="164"/>
      <c r="HK11" s="164"/>
      <c r="HL11" s="164"/>
      <c r="HM11" s="164"/>
      <c r="HN11" s="164"/>
      <c r="HO11" s="164"/>
      <c r="HP11" s="164"/>
      <c r="HQ11" s="164"/>
      <c r="HR11" s="164"/>
      <c r="HS11" s="164"/>
      <c r="HT11" s="164"/>
      <c r="HU11" s="164"/>
      <c r="HV11" s="164"/>
      <c r="HW11" s="164"/>
      <c r="HX11" s="164"/>
      <c r="HY11" s="164"/>
      <c r="HZ11" s="164"/>
      <c r="IA11" s="164"/>
      <c r="IB11" s="164"/>
      <c r="IC11" s="164"/>
      <c r="ID11" s="164"/>
      <c r="IE11" s="164"/>
      <c r="IF11" s="164"/>
      <c r="IG11" s="164"/>
      <c r="IH11" s="164"/>
      <c r="II11" s="164"/>
      <c r="IJ11" s="164"/>
      <c r="IK11" s="164"/>
      <c r="IL11" s="163">
        <v>45418</v>
      </c>
      <c r="IM11" s="164"/>
      <c r="IN11" s="164"/>
      <c r="IO11" s="164"/>
      <c r="IP11" s="164"/>
      <c r="IQ11" s="164"/>
      <c r="IR11" s="164"/>
      <c r="IS11" s="164"/>
      <c r="IT11" s="164"/>
      <c r="IU11" s="164"/>
      <c r="IV11" s="164"/>
      <c r="IW11" s="164"/>
      <c r="IX11" s="164"/>
      <c r="IY11" s="164"/>
      <c r="IZ11" s="164"/>
      <c r="JA11" s="164"/>
      <c r="JB11" s="164"/>
      <c r="JC11" s="164"/>
      <c r="JD11" s="164"/>
      <c r="JE11" s="164"/>
      <c r="JF11" s="164"/>
      <c r="JG11" s="164"/>
      <c r="JH11" s="164"/>
      <c r="JI11" s="164"/>
      <c r="JJ11" s="164"/>
      <c r="JK11" s="164"/>
      <c r="JL11" s="164"/>
      <c r="JM11" s="164"/>
      <c r="JN11" s="164"/>
      <c r="JO11" s="164"/>
      <c r="JP11" s="164"/>
      <c r="JQ11" s="164"/>
      <c r="JR11" s="164"/>
      <c r="JS11" s="164"/>
      <c r="JT11" s="164"/>
      <c r="JU11" s="164"/>
      <c r="JV11" s="164"/>
      <c r="JW11" s="164"/>
      <c r="JX11" s="164"/>
      <c r="JY11" s="164"/>
      <c r="JZ11" s="164"/>
      <c r="KA11" s="164"/>
      <c r="KB11" s="164"/>
      <c r="KC11" s="164"/>
      <c r="KD11" s="164"/>
      <c r="KE11" s="164"/>
      <c r="KF11" s="164"/>
      <c r="KG11" s="164"/>
      <c r="KH11" s="164"/>
      <c r="KI11" s="164"/>
      <c r="KJ11" s="164"/>
      <c r="KK11" s="164"/>
      <c r="KL11" s="164"/>
      <c r="KM11" s="164"/>
      <c r="KN11" s="164"/>
      <c r="KO11" s="164"/>
      <c r="KP11" s="164"/>
      <c r="KQ11" s="164"/>
      <c r="KR11" s="164"/>
      <c r="KS11" s="164"/>
      <c r="KT11" s="163">
        <v>45420</v>
      </c>
      <c r="KU11" s="164"/>
      <c r="KV11" s="164"/>
      <c r="KW11" s="164"/>
      <c r="KX11" s="164"/>
      <c r="KY11" s="164"/>
      <c r="KZ11" s="164"/>
      <c r="LA11" s="164"/>
      <c r="LB11" s="164"/>
      <c r="LC11" s="164"/>
      <c r="LD11" s="164"/>
      <c r="LE11" s="164"/>
      <c r="LF11" s="164"/>
      <c r="LG11" s="164"/>
      <c r="LH11" s="164"/>
      <c r="LI11" s="164"/>
      <c r="LJ11" s="164"/>
      <c r="LK11" s="164"/>
      <c r="LL11" s="164"/>
      <c r="LM11" s="164"/>
      <c r="LN11" s="164"/>
      <c r="LO11" s="164"/>
      <c r="LP11" s="164"/>
      <c r="LQ11" s="164"/>
      <c r="LR11" s="164"/>
      <c r="LS11" s="164"/>
      <c r="LT11" s="164"/>
      <c r="LU11" s="164"/>
      <c r="LV11" s="164"/>
      <c r="LW11" s="164"/>
      <c r="LX11" s="164"/>
      <c r="LY11" s="164"/>
      <c r="LZ11" s="164"/>
      <c r="MA11" s="164"/>
      <c r="MB11" s="164"/>
      <c r="MC11" s="164"/>
      <c r="MD11" s="164"/>
      <c r="ME11" s="164"/>
      <c r="MF11" s="164"/>
      <c r="MG11" s="164"/>
      <c r="MH11" s="164"/>
      <c r="MI11" s="164"/>
      <c r="MJ11" s="164"/>
      <c r="MK11" s="164"/>
      <c r="ML11" s="164"/>
      <c r="MM11" s="164"/>
      <c r="MN11" s="164"/>
      <c r="MO11" s="164"/>
      <c r="MP11" s="164"/>
      <c r="MQ11" s="164"/>
      <c r="MR11" s="164"/>
      <c r="MS11" s="164"/>
      <c r="MT11" s="164"/>
      <c r="MU11" s="164"/>
      <c r="MV11" s="164"/>
      <c r="MW11" s="164"/>
      <c r="MX11" s="164"/>
      <c r="MY11" s="164"/>
      <c r="MZ11" s="164"/>
      <c r="NA11" s="164"/>
      <c r="NB11" s="163">
        <v>45420</v>
      </c>
      <c r="NC11" s="164"/>
      <c r="ND11" s="164"/>
      <c r="NE11" s="164"/>
      <c r="NF11" s="164"/>
      <c r="NG11" s="164"/>
      <c r="NH11" s="164"/>
      <c r="NI11" s="164"/>
      <c r="NJ11" s="164"/>
      <c r="NK11" s="164"/>
      <c r="NL11" s="164"/>
      <c r="NM11" s="164"/>
      <c r="NN11" s="164"/>
      <c r="NO11" s="164"/>
      <c r="NP11" s="164"/>
      <c r="NQ11" s="164"/>
      <c r="NR11" s="164"/>
      <c r="NS11" s="164"/>
      <c r="NT11" s="164"/>
      <c r="NU11" s="164"/>
      <c r="NV11" s="164"/>
      <c r="NW11" s="164"/>
      <c r="NX11" s="164"/>
      <c r="NY11" s="164"/>
      <c r="NZ11" s="164"/>
      <c r="OA11" s="164"/>
      <c r="OB11" s="164"/>
      <c r="OC11" s="164"/>
      <c r="OD11" s="164"/>
      <c r="OE11" s="164"/>
      <c r="OF11" s="164"/>
      <c r="OG11" s="164"/>
      <c r="OH11" s="164"/>
      <c r="OI11" s="164"/>
      <c r="OJ11" s="164"/>
      <c r="OK11" s="164"/>
      <c r="OL11" s="164"/>
      <c r="OM11" s="164"/>
      <c r="ON11" s="164"/>
      <c r="OO11" s="164"/>
      <c r="OP11" s="164"/>
      <c r="OQ11" s="164"/>
      <c r="OR11" s="164"/>
      <c r="OS11" s="164"/>
      <c r="OT11" s="164"/>
      <c r="OU11" s="164"/>
      <c r="OV11" s="164"/>
      <c r="OW11" s="164"/>
      <c r="OX11" s="164"/>
      <c r="OY11" s="164"/>
      <c r="OZ11" s="164"/>
      <c r="PA11" s="164"/>
      <c r="PB11" s="164"/>
      <c r="PC11" s="164"/>
      <c r="PD11" s="164"/>
      <c r="PE11" s="164"/>
      <c r="PF11" s="164"/>
      <c r="PG11" s="164"/>
      <c r="PH11" s="164"/>
      <c r="PI11" s="164"/>
      <c r="PJ11" s="163">
        <v>45425</v>
      </c>
      <c r="PK11" s="164"/>
      <c r="PL11" s="164"/>
      <c r="PM11" s="164"/>
      <c r="PN11" s="164"/>
      <c r="PO11" s="164"/>
      <c r="PP11" s="164"/>
      <c r="PQ11" s="164"/>
      <c r="PR11" s="164"/>
      <c r="PS11" s="164"/>
      <c r="PT11" s="164"/>
      <c r="PU11" s="164"/>
      <c r="PV11" s="164"/>
      <c r="PW11" s="164"/>
      <c r="PX11" s="164"/>
      <c r="PY11" s="164"/>
      <c r="PZ11" s="164"/>
      <c r="QA11" s="164"/>
      <c r="QB11" s="164"/>
      <c r="QC11" s="164"/>
      <c r="QD11" s="164"/>
      <c r="QE11" s="164"/>
      <c r="QF11" s="164"/>
      <c r="QG11" s="164"/>
      <c r="QH11" s="164"/>
      <c r="QI11" s="164"/>
      <c r="QJ11" s="164"/>
      <c r="QK11" s="164"/>
      <c r="QL11" s="164"/>
      <c r="QM11" s="164"/>
      <c r="QN11" s="164"/>
      <c r="QO11" s="164"/>
      <c r="QP11" s="164"/>
      <c r="QQ11" s="164"/>
      <c r="QR11" s="164"/>
      <c r="QS11" s="164"/>
      <c r="QT11" s="164"/>
      <c r="QU11" s="164"/>
      <c r="QV11" s="164"/>
      <c r="QW11" s="164"/>
      <c r="QX11" s="164"/>
      <c r="QY11" s="164"/>
      <c r="QZ11" s="164"/>
      <c r="RA11" s="164"/>
      <c r="RB11" s="164"/>
      <c r="RC11" s="164"/>
      <c r="RD11" s="164"/>
      <c r="RE11" s="164"/>
      <c r="RF11" s="164"/>
      <c r="RG11" s="164"/>
      <c r="RH11" s="164"/>
      <c r="RI11" s="164"/>
      <c r="RJ11" s="164"/>
      <c r="RK11" s="164"/>
      <c r="RL11" s="164"/>
      <c r="RM11" s="164"/>
      <c r="RN11" s="164"/>
      <c r="RO11" s="164"/>
      <c r="RP11" s="164"/>
      <c r="RQ11" s="164"/>
      <c r="RR11" s="163">
        <v>45425</v>
      </c>
      <c r="RS11" s="164"/>
      <c r="RT11" s="164"/>
      <c r="RU11" s="164"/>
      <c r="RV11" s="164"/>
      <c r="RW11" s="164"/>
      <c r="RX11" s="164"/>
      <c r="RY11" s="164"/>
      <c r="RZ11" s="164"/>
      <c r="SA11" s="164"/>
      <c r="SB11" s="164"/>
      <c r="SC11" s="164"/>
      <c r="SD11" s="164"/>
      <c r="SE11" s="164"/>
      <c r="SF11" s="164"/>
      <c r="SG11" s="164"/>
      <c r="SH11" s="164"/>
      <c r="SI11" s="164"/>
      <c r="SJ11" s="164"/>
      <c r="SK11" s="164"/>
      <c r="SL11" s="164"/>
      <c r="SM11" s="164"/>
      <c r="SN11" s="164"/>
      <c r="SO11" s="164"/>
      <c r="SP11" s="164"/>
      <c r="SQ11" s="164"/>
      <c r="SR11" s="164"/>
      <c r="SS11" s="164"/>
      <c r="ST11" s="164"/>
      <c r="SU11" s="164"/>
      <c r="SV11" s="164"/>
      <c r="SW11" s="164"/>
      <c r="SX11" s="164"/>
      <c r="SY11" s="164"/>
      <c r="SZ11" s="164"/>
      <c r="TA11" s="164"/>
      <c r="TB11" s="164"/>
      <c r="TC11" s="164"/>
      <c r="TD11" s="164"/>
      <c r="TE11" s="164"/>
      <c r="TF11" s="164"/>
      <c r="TG11" s="164"/>
      <c r="TH11" s="164"/>
      <c r="TI11" s="164"/>
      <c r="TJ11" s="164"/>
      <c r="TK11" s="164"/>
      <c r="TL11" s="164"/>
      <c r="TM11" s="164"/>
      <c r="TN11" s="164"/>
      <c r="TO11" s="164"/>
      <c r="TP11" s="164"/>
      <c r="TQ11" s="164"/>
      <c r="TR11" s="164"/>
      <c r="TS11" s="164"/>
      <c r="TT11" s="164"/>
      <c r="TU11" s="164"/>
      <c r="TV11" s="164"/>
      <c r="TW11" s="164"/>
      <c r="TX11" s="164"/>
      <c r="TY11" s="164"/>
      <c r="TZ11" s="163">
        <v>45427</v>
      </c>
      <c r="UA11" s="164"/>
      <c r="UB11" s="164"/>
      <c r="UC11" s="164"/>
      <c r="UD11" s="164"/>
      <c r="UE11" s="164"/>
      <c r="UF11" s="164"/>
      <c r="UG11" s="164"/>
      <c r="UH11" s="164"/>
      <c r="UI11" s="164"/>
      <c r="UJ11" s="164"/>
      <c r="UK11" s="164"/>
      <c r="UL11" s="164"/>
      <c r="UM11" s="164"/>
      <c r="UN11" s="164"/>
      <c r="UO11" s="164"/>
      <c r="UP11" s="164"/>
      <c r="UQ11" s="164"/>
      <c r="UR11" s="164"/>
      <c r="US11" s="164"/>
      <c r="UT11" s="164"/>
      <c r="UU11" s="164"/>
      <c r="UV11" s="164"/>
      <c r="UW11" s="164"/>
      <c r="UX11" s="164"/>
      <c r="UY11" s="164"/>
      <c r="UZ11" s="164"/>
      <c r="VA11" s="164"/>
      <c r="VB11" s="164"/>
      <c r="VC11" s="164"/>
      <c r="VD11" s="164"/>
      <c r="VE11" s="164"/>
      <c r="VF11" s="164"/>
      <c r="VG11" s="164"/>
      <c r="VH11" s="164"/>
      <c r="VI11" s="164"/>
      <c r="VJ11" s="164"/>
      <c r="VK11" s="164"/>
      <c r="VL11" s="164"/>
      <c r="VM11" s="164"/>
      <c r="VN11" s="164"/>
      <c r="VO11" s="164"/>
      <c r="VP11" s="164"/>
      <c r="VQ11" s="164"/>
      <c r="VR11" s="164"/>
      <c r="VS11" s="164"/>
      <c r="VT11" s="164"/>
      <c r="VU11" s="164"/>
      <c r="VV11" s="164"/>
      <c r="VW11" s="164"/>
      <c r="VX11" s="164"/>
      <c r="VY11" s="164"/>
      <c r="VZ11" s="164"/>
      <c r="WA11" s="164"/>
      <c r="WB11" s="164"/>
      <c r="WC11" s="164"/>
      <c r="WD11" s="164"/>
      <c r="WE11" s="164"/>
      <c r="WF11" s="164"/>
      <c r="WG11" s="164"/>
      <c r="WH11" s="163">
        <v>45427</v>
      </c>
      <c r="WI11" s="164"/>
      <c r="WJ11" s="164"/>
      <c r="WK11" s="164"/>
      <c r="WL11" s="164"/>
      <c r="WM11" s="164"/>
      <c r="WN11" s="164"/>
      <c r="WO11" s="164"/>
      <c r="WP11" s="164"/>
      <c r="WQ11" s="164"/>
      <c r="WR11" s="164"/>
      <c r="WS11" s="164"/>
      <c r="WT11" s="164"/>
      <c r="WU11" s="164"/>
      <c r="WV11" s="164"/>
      <c r="WW11" s="164"/>
      <c r="WX11" s="164"/>
      <c r="WY11" s="164"/>
      <c r="WZ11" s="164"/>
      <c r="XA11" s="164"/>
      <c r="XB11" s="164"/>
      <c r="XC11" s="164"/>
      <c r="XD11" s="164"/>
      <c r="XE11" s="164"/>
      <c r="XF11" s="164"/>
      <c r="XG11" s="164"/>
      <c r="XH11" s="164"/>
      <c r="XI11" s="164"/>
      <c r="XJ11" s="164"/>
      <c r="XK11" s="164"/>
      <c r="XL11" s="164"/>
      <c r="XM11" s="164"/>
      <c r="XN11" s="164"/>
      <c r="XO11" s="164"/>
      <c r="XP11" s="164"/>
      <c r="XQ11" s="164"/>
      <c r="XR11" s="164"/>
      <c r="XS11" s="164"/>
      <c r="XT11" s="164"/>
      <c r="XU11" s="164"/>
      <c r="XV11" s="164"/>
      <c r="XW11" s="164"/>
      <c r="XX11" s="164"/>
      <c r="XY11" s="164"/>
      <c r="XZ11" s="164"/>
      <c r="YA11" s="164"/>
      <c r="YB11" s="164"/>
      <c r="YC11" s="164"/>
      <c r="YD11" s="164"/>
      <c r="YE11" s="164"/>
      <c r="YF11" s="164"/>
      <c r="YG11" s="164"/>
      <c r="YH11" s="164"/>
      <c r="YI11" s="164"/>
      <c r="YJ11" s="164"/>
      <c r="YK11" s="164"/>
      <c r="YL11" s="164"/>
      <c r="YM11" s="164"/>
      <c r="YN11" s="164"/>
      <c r="YO11" s="164"/>
      <c r="YP11" s="163">
        <v>45428</v>
      </c>
      <c r="YQ11" s="164"/>
      <c r="YR11" s="164"/>
      <c r="YS11" s="164"/>
      <c r="YT11" s="164"/>
      <c r="YU11" s="164"/>
      <c r="YV11" s="164"/>
      <c r="YW11" s="164"/>
      <c r="YX11" s="164"/>
      <c r="YY11" s="164"/>
      <c r="YZ11" s="164"/>
      <c r="ZA11" s="164"/>
      <c r="ZB11" s="164"/>
      <c r="ZC11" s="164"/>
      <c r="ZD11" s="164"/>
      <c r="ZE11" s="164"/>
      <c r="ZF11" s="164"/>
      <c r="ZG11" s="164"/>
      <c r="ZH11" s="164"/>
      <c r="ZI11" s="164"/>
      <c r="ZJ11" s="164"/>
      <c r="ZK11" s="164"/>
      <c r="ZL11" s="164"/>
      <c r="ZM11" s="164"/>
      <c r="ZN11" s="164"/>
      <c r="ZO11" s="164"/>
      <c r="ZP11" s="164"/>
      <c r="ZQ11" s="164"/>
      <c r="ZR11" s="164"/>
      <c r="ZS11" s="164"/>
      <c r="ZT11" s="164"/>
      <c r="ZU11" s="164"/>
      <c r="ZV11" s="164"/>
      <c r="ZW11" s="164"/>
      <c r="ZX11" s="164"/>
      <c r="ZY11" s="164"/>
      <c r="ZZ11" s="164"/>
      <c r="AAA11" s="164"/>
      <c r="AAB11" s="164"/>
      <c r="AAC11" s="164"/>
      <c r="AAD11" s="164"/>
      <c r="AAE11" s="164"/>
      <c r="AAF11" s="164"/>
      <c r="AAG11" s="164"/>
      <c r="AAH11" s="164"/>
      <c r="AAI11" s="164"/>
      <c r="AAJ11" s="164"/>
      <c r="AAK11" s="164"/>
      <c r="AAL11" s="164"/>
      <c r="AAM11" s="164"/>
      <c r="AAN11" s="164"/>
      <c r="AAO11" s="164"/>
      <c r="AAP11" s="164"/>
      <c r="AAQ11" s="164"/>
      <c r="AAR11" s="164"/>
      <c r="AAS11" s="164"/>
      <c r="AAT11" s="164"/>
      <c r="AAU11" s="164"/>
      <c r="AAV11" s="164"/>
      <c r="AAW11" s="164"/>
      <c r="AAX11" s="163">
        <v>45429</v>
      </c>
      <c r="AAY11" s="164"/>
      <c r="AAZ11" s="164"/>
      <c r="ABA11" s="164"/>
      <c r="ABB11" s="164"/>
      <c r="ABC11" s="164"/>
      <c r="ABD11" s="164"/>
      <c r="ABE11" s="164"/>
      <c r="ABF11" s="164"/>
      <c r="ABG11" s="164"/>
      <c r="ABH11" s="164"/>
      <c r="ABI11" s="164"/>
      <c r="ABJ11" s="164"/>
      <c r="ABK11" s="164"/>
      <c r="ABL11" s="164"/>
      <c r="ABM11" s="164"/>
      <c r="ABN11" s="164"/>
      <c r="ABO11" s="164"/>
      <c r="ABP11" s="164"/>
      <c r="ABQ11" s="164"/>
      <c r="ABR11" s="164"/>
      <c r="ABS11" s="164"/>
      <c r="ABT11" s="164"/>
      <c r="ABU11" s="164"/>
      <c r="ABV11" s="164"/>
      <c r="ABW11" s="164"/>
      <c r="ABX11" s="164"/>
      <c r="ABY11" s="164"/>
      <c r="ABZ11" s="164"/>
      <c r="ACA11" s="164"/>
      <c r="ACB11" s="164"/>
      <c r="ACC11" s="164"/>
      <c r="ACD11" s="164"/>
      <c r="ACE11" s="164"/>
      <c r="ACF11" s="164"/>
      <c r="ACG11" s="164"/>
      <c r="ACH11" s="164"/>
      <c r="ACI11" s="164"/>
      <c r="ACJ11" s="164"/>
      <c r="ACK11" s="164"/>
      <c r="ACL11" s="164"/>
      <c r="ACM11" s="164"/>
      <c r="ACN11" s="164"/>
      <c r="ACO11" s="164"/>
      <c r="ACP11" s="164"/>
      <c r="ACQ11" s="164"/>
      <c r="ACR11" s="164"/>
      <c r="ACS11" s="164"/>
      <c r="ACT11" s="164"/>
      <c r="ACU11" s="164"/>
      <c r="ACV11" s="164"/>
      <c r="ACW11" s="164"/>
      <c r="ACX11" s="164"/>
      <c r="ACY11" s="164"/>
      <c r="ACZ11" s="164"/>
      <c r="ADA11" s="164"/>
      <c r="ADB11" s="164"/>
      <c r="ADC11" s="164"/>
      <c r="ADD11" s="164"/>
      <c r="ADE11" s="164"/>
      <c r="ADF11" s="163">
        <v>45429</v>
      </c>
      <c r="ADG11" s="164"/>
      <c r="ADH11" s="164"/>
      <c r="ADI11" s="164"/>
      <c r="ADJ11" s="164"/>
      <c r="ADK11" s="164"/>
      <c r="ADL11" s="164"/>
      <c r="ADM11" s="164"/>
      <c r="ADN11" s="164"/>
      <c r="ADO11" s="164"/>
      <c r="ADP11" s="164"/>
      <c r="ADQ11" s="164"/>
      <c r="ADR11" s="164"/>
      <c r="ADS11" s="164"/>
      <c r="ADT11" s="164"/>
      <c r="ADU11" s="164"/>
      <c r="ADV11" s="164"/>
      <c r="ADW11" s="164"/>
      <c r="ADX11" s="164"/>
      <c r="ADY11" s="164"/>
      <c r="ADZ11" s="164"/>
      <c r="AEA11" s="164"/>
      <c r="AEB11" s="164"/>
      <c r="AEC11" s="164"/>
      <c r="AED11" s="164"/>
      <c r="AEE11" s="164"/>
      <c r="AEF11" s="164"/>
      <c r="AEG11" s="164"/>
      <c r="AEH11" s="164"/>
      <c r="AEI11" s="164"/>
      <c r="AEJ11" s="164"/>
      <c r="AEK11" s="164"/>
      <c r="AEL11" s="164"/>
      <c r="AEM11" s="164"/>
      <c r="AEN11" s="164"/>
      <c r="AEO11" s="164"/>
      <c r="AEP11" s="164"/>
      <c r="AEQ11" s="164"/>
      <c r="AER11" s="164"/>
      <c r="AES11" s="164"/>
      <c r="AET11" s="164"/>
      <c r="AEU11" s="164"/>
      <c r="AEV11" s="164"/>
      <c r="AEW11" s="164"/>
      <c r="AEX11" s="164"/>
      <c r="AEY11" s="164"/>
      <c r="AEZ11" s="164"/>
      <c r="AFA11" s="164"/>
      <c r="AFB11" s="164"/>
      <c r="AFC11" s="164"/>
      <c r="AFD11" s="164"/>
      <c r="AFE11" s="164"/>
      <c r="AFF11" s="164"/>
      <c r="AFG11" s="164"/>
      <c r="AFH11" s="164"/>
      <c r="AFI11" s="164"/>
      <c r="AFJ11" s="164"/>
      <c r="AFK11" s="164"/>
      <c r="AFL11" s="164"/>
      <c r="AFM11" s="164"/>
      <c r="AFN11" s="163">
        <v>45434</v>
      </c>
      <c r="AFO11" s="164"/>
      <c r="AFP11" s="164"/>
      <c r="AFQ11" s="164"/>
      <c r="AFR11" s="164"/>
      <c r="AFS11" s="164"/>
      <c r="AFT11" s="164"/>
      <c r="AFU11" s="164"/>
      <c r="AFV11" s="164"/>
      <c r="AFW11" s="164"/>
      <c r="AFX11" s="164"/>
      <c r="AFY11" s="164"/>
      <c r="AFZ11" s="164"/>
      <c r="AGA11" s="164"/>
      <c r="AGB11" s="164"/>
      <c r="AGC11" s="164"/>
      <c r="AGD11" s="164"/>
      <c r="AGE11" s="164"/>
      <c r="AGF11" s="164"/>
      <c r="AGG11" s="164"/>
      <c r="AGH11" s="164"/>
      <c r="AGI11" s="164"/>
      <c r="AGJ11" s="164"/>
      <c r="AGK11" s="164"/>
      <c r="AGL11" s="164"/>
      <c r="AGM11" s="164"/>
      <c r="AGN11" s="164"/>
      <c r="AGO11" s="164"/>
      <c r="AGP11" s="164"/>
      <c r="AGQ11" s="164"/>
      <c r="AGR11" s="164"/>
      <c r="AGS11" s="164"/>
      <c r="AGT11" s="164"/>
      <c r="AGU11" s="164"/>
      <c r="AGV11" s="164"/>
      <c r="AGW11" s="164"/>
      <c r="AGX11" s="164"/>
      <c r="AGY11" s="164"/>
      <c r="AGZ11" s="164"/>
      <c r="AHA11" s="164"/>
      <c r="AHB11" s="164"/>
      <c r="AHC11" s="164"/>
      <c r="AHD11" s="164"/>
      <c r="AHE11" s="164"/>
      <c r="AHF11" s="164"/>
      <c r="AHG11" s="164"/>
      <c r="AHH11" s="164"/>
      <c r="AHI11" s="164"/>
      <c r="AHJ11" s="164"/>
      <c r="AHK11" s="164"/>
      <c r="AHL11" s="164"/>
      <c r="AHM11" s="164"/>
      <c r="AHN11" s="164"/>
      <c r="AHO11" s="164"/>
      <c r="AHP11" s="164"/>
      <c r="AHQ11" s="164"/>
      <c r="AHR11" s="164"/>
      <c r="AHS11" s="164"/>
      <c r="AHT11" s="164"/>
      <c r="AHU11" s="164"/>
      <c r="AHV11" s="163">
        <v>45434</v>
      </c>
      <c r="AHW11" s="164"/>
      <c r="AHX11" s="164"/>
      <c r="AHY11" s="164"/>
      <c r="AHZ11" s="164"/>
      <c r="AIA11" s="164"/>
      <c r="AIB11" s="164"/>
      <c r="AIC11" s="164"/>
      <c r="AID11" s="164"/>
      <c r="AIE11" s="164"/>
      <c r="AIF11" s="164"/>
      <c r="AIG11" s="164"/>
      <c r="AIH11" s="164"/>
      <c r="AII11" s="164"/>
      <c r="AIJ11" s="164"/>
      <c r="AIK11" s="164"/>
      <c r="AIL11" s="164"/>
      <c r="AIM11" s="164"/>
      <c r="AIN11" s="164"/>
      <c r="AIO11" s="164"/>
      <c r="AIP11" s="164"/>
      <c r="AIQ11" s="164"/>
      <c r="AIR11" s="164"/>
      <c r="AIS11" s="164"/>
      <c r="AIT11" s="164"/>
      <c r="AIU11" s="164"/>
      <c r="AIV11" s="164"/>
      <c r="AIW11" s="164"/>
      <c r="AIX11" s="164"/>
      <c r="AIY11" s="164"/>
      <c r="AIZ11" s="164"/>
      <c r="AJA11" s="164"/>
      <c r="AJB11" s="164"/>
      <c r="AJC11" s="164"/>
      <c r="AJD11" s="164"/>
      <c r="AJE11" s="164"/>
      <c r="AJF11" s="164"/>
      <c r="AJG11" s="164"/>
      <c r="AJH11" s="164"/>
      <c r="AJI11" s="164"/>
      <c r="AJJ11" s="164"/>
      <c r="AJK11" s="164"/>
      <c r="AJL11" s="164"/>
      <c r="AJM11" s="164"/>
      <c r="AJN11" s="164"/>
      <c r="AJO11" s="164"/>
      <c r="AJP11" s="164"/>
      <c r="AJQ11" s="164"/>
      <c r="AJR11" s="164"/>
      <c r="AJS11" s="164"/>
      <c r="AJT11" s="164"/>
      <c r="AJU11" s="164"/>
      <c r="AJV11" s="164"/>
      <c r="AJW11" s="164"/>
      <c r="AJX11" s="164"/>
      <c r="AJY11" s="164"/>
      <c r="AJZ11" s="164"/>
      <c r="AKA11" s="164"/>
      <c r="AKB11" s="164"/>
      <c r="AKC11" s="164"/>
      <c r="AKD11" s="163">
        <v>45435</v>
      </c>
      <c r="AKE11" s="164"/>
      <c r="AKF11" s="164"/>
      <c r="AKG11" s="164"/>
      <c r="AKH11" s="164"/>
      <c r="AKI11" s="164"/>
      <c r="AKJ11" s="164"/>
      <c r="AKK11" s="164"/>
      <c r="AKL11" s="164"/>
      <c r="AKM11" s="164"/>
      <c r="AKN11" s="164"/>
      <c r="AKO11" s="164"/>
      <c r="AKP11" s="164"/>
      <c r="AKQ11" s="164"/>
      <c r="AKR11" s="164"/>
      <c r="AKS11" s="164"/>
      <c r="AKT11" s="164"/>
      <c r="AKU11" s="164"/>
      <c r="AKV11" s="164"/>
      <c r="AKW11" s="164"/>
      <c r="AKX11" s="164"/>
      <c r="AKY11" s="164"/>
      <c r="AKZ11" s="164"/>
      <c r="ALA11" s="164"/>
      <c r="ALB11" s="164"/>
      <c r="ALC11" s="164"/>
      <c r="ALD11" s="164"/>
      <c r="ALE11" s="164"/>
      <c r="ALF11" s="164"/>
      <c r="ALG11" s="164"/>
      <c r="ALH11" s="164"/>
      <c r="ALI11" s="164"/>
      <c r="ALJ11" s="164"/>
      <c r="ALK11" s="164"/>
      <c r="ALL11" s="164"/>
      <c r="ALM11" s="164"/>
      <c r="ALN11" s="164"/>
      <c r="ALO11" s="164"/>
      <c r="ALP11" s="164"/>
      <c r="ALQ11" s="164"/>
      <c r="ALR11" s="164"/>
      <c r="ALS11" s="164"/>
      <c r="ALT11" s="164"/>
      <c r="ALU11" s="164"/>
      <c r="ALV11" s="164"/>
      <c r="ALW11" s="164"/>
      <c r="ALX11" s="164"/>
      <c r="ALY11" s="164"/>
      <c r="ALZ11" s="164"/>
      <c r="AMA11" s="164"/>
      <c r="AMB11" s="164"/>
      <c r="AMC11" s="164"/>
      <c r="AMD11" s="164"/>
      <c r="AME11" s="164"/>
      <c r="AMF11" s="164"/>
      <c r="AMG11" s="164"/>
      <c r="AMH11" s="164"/>
      <c r="AMI11" s="164"/>
      <c r="AMJ11" s="164"/>
      <c r="AMK11" s="164"/>
      <c r="AML11" s="163">
        <v>45436</v>
      </c>
      <c r="AMM11" s="164"/>
      <c r="AMN11" s="164"/>
      <c r="AMO11" s="164"/>
      <c r="AMP11" s="164"/>
      <c r="AMQ11" s="164"/>
      <c r="AMR11" s="164"/>
      <c r="AMS11" s="164"/>
      <c r="AMT11" s="164"/>
      <c r="AMU11" s="164"/>
      <c r="AMV11" s="164"/>
      <c r="AMW11" s="164"/>
      <c r="AMX11" s="164"/>
      <c r="AMY11" s="164"/>
      <c r="AMZ11" s="164"/>
      <c r="ANA11" s="164"/>
      <c r="ANB11" s="164"/>
      <c r="ANC11" s="164"/>
      <c r="AND11" s="164"/>
      <c r="ANE11" s="164"/>
      <c r="ANF11" s="164"/>
      <c r="ANG11" s="164"/>
      <c r="ANH11" s="164"/>
      <c r="ANI11" s="164"/>
      <c r="ANJ11" s="164"/>
      <c r="ANK11" s="164"/>
      <c r="ANL11" s="164"/>
      <c r="ANM11" s="164"/>
      <c r="ANN11" s="164"/>
      <c r="ANO11" s="164"/>
      <c r="ANP11" s="164"/>
      <c r="ANQ11" s="164"/>
      <c r="ANR11" s="164"/>
      <c r="ANS11" s="164"/>
      <c r="ANT11" s="164"/>
      <c r="ANU11" s="164"/>
      <c r="ANV11" s="164"/>
      <c r="ANW11" s="164"/>
      <c r="ANX11" s="164"/>
      <c r="ANY11" s="164"/>
      <c r="ANZ11" s="164"/>
      <c r="AOA11" s="164"/>
      <c r="AOB11" s="164"/>
      <c r="AOC11" s="164"/>
      <c r="AOD11" s="164"/>
      <c r="AOE11" s="164"/>
      <c r="AOF11" s="164"/>
      <c r="AOG11" s="164"/>
      <c r="AOH11" s="164"/>
      <c r="AOI11" s="164"/>
      <c r="AOJ11" s="164"/>
      <c r="AOK11" s="164"/>
      <c r="AOL11" s="164"/>
      <c r="AOM11" s="164"/>
      <c r="AON11" s="164"/>
      <c r="AOO11" s="164"/>
      <c r="AOP11" s="164"/>
      <c r="AOQ11" s="164"/>
      <c r="AOR11" s="164"/>
      <c r="AOS11" s="164"/>
      <c r="AOT11" s="163">
        <v>45436</v>
      </c>
      <c r="AOU11" s="164"/>
      <c r="AOV11" s="164"/>
      <c r="AOW11" s="164"/>
      <c r="AOX11" s="164"/>
      <c r="AOY11" s="164"/>
      <c r="AOZ11" s="164"/>
      <c r="APA11" s="164"/>
      <c r="APB11" s="164"/>
      <c r="APC11" s="164"/>
      <c r="APD11" s="164"/>
      <c r="APE11" s="164"/>
      <c r="APF11" s="164"/>
      <c r="APG11" s="164"/>
      <c r="APH11" s="164"/>
      <c r="API11" s="164"/>
      <c r="APJ11" s="164"/>
      <c r="APK11" s="164"/>
      <c r="APL11" s="164"/>
      <c r="APM11" s="164"/>
      <c r="APN11" s="164"/>
      <c r="APO11" s="164"/>
      <c r="APP11" s="164"/>
      <c r="APQ11" s="164"/>
      <c r="APR11" s="164"/>
      <c r="APS11" s="164"/>
      <c r="APT11" s="164"/>
      <c r="APU11" s="164"/>
      <c r="APV11" s="164"/>
      <c r="APW11" s="164"/>
      <c r="APX11" s="164"/>
      <c r="APY11" s="164"/>
      <c r="APZ11" s="164"/>
      <c r="AQA11" s="164"/>
      <c r="AQB11" s="164"/>
      <c r="AQC11" s="164"/>
      <c r="AQD11" s="164"/>
      <c r="AQE11" s="164"/>
      <c r="AQF11" s="164"/>
      <c r="AQG11" s="164"/>
      <c r="AQH11" s="164"/>
      <c r="AQI11" s="164"/>
      <c r="AQJ11" s="164"/>
      <c r="AQK11" s="164"/>
      <c r="AQL11" s="164"/>
      <c r="AQM11" s="164"/>
      <c r="AQN11" s="164"/>
      <c r="AQO11" s="164"/>
      <c r="AQP11" s="164"/>
      <c r="AQQ11" s="164"/>
      <c r="AQR11" s="164"/>
      <c r="AQS11" s="164"/>
      <c r="AQT11" s="164"/>
      <c r="AQU11" s="164"/>
      <c r="AQV11" s="164"/>
      <c r="AQW11" s="164"/>
      <c r="AQX11" s="164"/>
      <c r="AQY11" s="164"/>
      <c r="AQZ11" s="164"/>
      <c r="ARA11" s="164"/>
      <c r="ARB11" s="163">
        <v>45441</v>
      </c>
      <c r="ARC11" s="164"/>
      <c r="ARD11" s="164"/>
      <c r="ARE11" s="164"/>
      <c r="ARF11" s="164"/>
      <c r="ARG11" s="164"/>
      <c r="ARH11" s="164"/>
      <c r="ARI11" s="164"/>
      <c r="ARJ11" s="164"/>
      <c r="ARK11" s="164"/>
      <c r="ARL11" s="164"/>
      <c r="ARM11" s="164"/>
      <c r="ARN11" s="164"/>
      <c r="ARO11" s="164"/>
      <c r="ARP11" s="164"/>
      <c r="ARQ11" s="164"/>
      <c r="ARR11" s="164"/>
      <c r="ARS11" s="164"/>
      <c r="ART11" s="164"/>
      <c r="ARU11" s="164"/>
      <c r="ARV11" s="164"/>
      <c r="ARW11" s="164"/>
      <c r="ARX11" s="164"/>
      <c r="ARY11" s="164"/>
      <c r="ARZ11" s="164"/>
      <c r="ASA11" s="164"/>
      <c r="ASB11" s="164"/>
      <c r="ASC11" s="164"/>
      <c r="ASD11" s="164"/>
      <c r="ASE11" s="164"/>
      <c r="ASF11" s="164"/>
      <c r="ASG11" s="164"/>
      <c r="ASH11" s="164"/>
      <c r="ASI11" s="164"/>
      <c r="ASJ11" s="164"/>
      <c r="ASK11" s="164"/>
      <c r="ASL11" s="164"/>
      <c r="ASM11" s="164"/>
      <c r="ASN11" s="164"/>
      <c r="ASO11" s="164"/>
      <c r="ASP11" s="164"/>
      <c r="ASQ11" s="164"/>
      <c r="ASR11" s="164"/>
      <c r="ASS11" s="164"/>
      <c r="AST11" s="164"/>
      <c r="ASU11" s="164"/>
      <c r="ASV11" s="164"/>
      <c r="ASW11" s="164"/>
      <c r="ASX11" s="164"/>
      <c r="ASY11" s="164"/>
      <c r="ASZ11" s="164"/>
      <c r="ATA11" s="164"/>
      <c r="ATB11" s="164"/>
      <c r="ATC11" s="164"/>
      <c r="ATD11" s="164"/>
      <c r="ATE11" s="164"/>
      <c r="ATF11" s="164"/>
      <c r="ATG11" s="164"/>
      <c r="ATH11" s="164"/>
      <c r="ATI11" s="164"/>
      <c r="ATJ11" s="163">
        <v>45441</v>
      </c>
      <c r="ATK11" s="164"/>
      <c r="ATL11" s="164"/>
      <c r="ATM11" s="164"/>
      <c r="ATN11" s="164"/>
      <c r="ATO11" s="164"/>
      <c r="ATP11" s="164"/>
      <c r="ATQ11" s="164"/>
      <c r="ATR11" s="164"/>
      <c r="ATS11" s="164"/>
      <c r="ATT11" s="164"/>
      <c r="ATU11" s="164"/>
      <c r="ATV11" s="164"/>
      <c r="ATW11" s="164"/>
      <c r="ATX11" s="164"/>
      <c r="ATY11" s="164"/>
      <c r="ATZ11" s="164"/>
      <c r="AUA11" s="164"/>
      <c r="AUB11" s="164"/>
      <c r="AUC11" s="164"/>
      <c r="AUD11" s="164"/>
      <c r="AUE11" s="164"/>
      <c r="AUF11" s="164"/>
      <c r="AUG11" s="164"/>
      <c r="AUH11" s="164"/>
      <c r="AUI11" s="164"/>
      <c r="AUJ11" s="164"/>
      <c r="AUK11" s="164"/>
      <c r="AUL11" s="164"/>
      <c r="AUM11" s="164"/>
      <c r="AUN11" s="164"/>
      <c r="AUO11" s="164"/>
      <c r="AUP11" s="164"/>
      <c r="AUQ11" s="164"/>
      <c r="AUR11" s="164"/>
      <c r="AUS11" s="164"/>
      <c r="AUT11" s="164"/>
      <c r="AUU11" s="164"/>
      <c r="AUV11" s="164"/>
      <c r="AUW11" s="164"/>
      <c r="AUX11" s="164"/>
      <c r="AUY11" s="164"/>
      <c r="AUZ11" s="164"/>
      <c r="AVA11" s="164"/>
      <c r="AVB11" s="164"/>
      <c r="AVC11" s="164"/>
      <c r="AVD11" s="164"/>
      <c r="AVE11" s="164"/>
      <c r="AVF11" s="164"/>
      <c r="AVG11" s="164"/>
      <c r="AVH11" s="164"/>
      <c r="AVI11" s="164"/>
      <c r="AVJ11" s="164"/>
      <c r="AVK11" s="164"/>
      <c r="AVL11" s="164"/>
      <c r="AVM11" s="164"/>
      <c r="AVN11" s="164"/>
      <c r="AVO11" s="164"/>
      <c r="AVP11" s="164"/>
      <c r="AVQ11" s="164"/>
      <c r="AVR11" s="163">
        <v>45442</v>
      </c>
      <c r="AVS11" s="164"/>
      <c r="AVT11" s="164"/>
      <c r="AVU11" s="164"/>
      <c r="AVV11" s="164"/>
      <c r="AVW11" s="164"/>
      <c r="AVX11" s="164"/>
      <c r="AVY11" s="164"/>
      <c r="AVZ11" s="164"/>
      <c r="AWA11" s="164"/>
      <c r="AWB11" s="164"/>
      <c r="AWC11" s="164"/>
      <c r="AWD11" s="164"/>
      <c r="AWE11" s="164"/>
      <c r="AWF11" s="164"/>
      <c r="AWG11" s="164"/>
      <c r="AWH11" s="164"/>
      <c r="AWI11" s="164"/>
      <c r="AWJ11" s="164"/>
      <c r="AWK11" s="164"/>
      <c r="AWL11" s="164"/>
      <c r="AWM11" s="164"/>
      <c r="AWN11" s="164"/>
      <c r="AWO11" s="164"/>
      <c r="AWP11" s="164"/>
      <c r="AWQ11" s="164"/>
      <c r="AWR11" s="164"/>
      <c r="AWS11" s="164"/>
      <c r="AWT11" s="164"/>
      <c r="AWU11" s="164"/>
      <c r="AWV11" s="164"/>
      <c r="AWW11" s="164"/>
      <c r="AWX11" s="164"/>
      <c r="AWY11" s="164"/>
      <c r="AWZ11" s="164"/>
      <c r="AXA11" s="164"/>
      <c r="AXB11" s="164"/>
      <c r="AXC11" s="164"/>
      <c r="AXD11" s="164"/>
      <c r="AXE11" s="164"/>
      <c r="AXF11" s="164"/>
      <c r="AXG11" s="164"/>
      <c r="AXH11" s="164"/>
      <c r="AXI11" s="164"/>
      <c r="AXJ11" s="164"/>
      <c r="AXK11" s="164"/>
      <c r="AXL11" s="164"/>
      <c r="AXM11" s="164"/>
      <c r="AXN11" s="164"/>
      <c r="AXO11" s="164"/>
      <c r="AXP11" s="164"/>
      <c r="AXQ11" s="164"/>
      <c r="AXR11" s="164"/>
      <c r="AXS11" s="164"/>
      <c r="AXT11" s="164"/>
      <c r="AXU11" s="164"/>
      <c r="AXV11" s="164"/>
      <c r="AXW11" s="164"/>
      <c r="AXX11" s="164"/>
      <c r="AXY11" s="164"/>
      <c r="AXZ11" s="163">
        <v>45443</v>
      </c>
      <c r="AYA11" s="164"/>
      <c r="AYB11" s="164"/>
      <c r="AYC11" s="164"/>
      <c r="AYD11" s="164"/>
      <c r="AYE11" s="164"/>
      <c r="AYF11" s="164"/>
      <c r="AYG11" s="164"/>
      <c r="AYH11" s="164"/>
      <c r="AYI11" s="164"/>
      <c r="AYJ11" s="164"/>
      <c r="AYK11" s="164"/>
      <c r="AYL11" s="164"/>
      <c r="AYM11" s="164"/>
      <c r="AYN11" s="164"/>
      <c r="AYO11" s="164"/>
      <c r="AYP11" s="164"/>
      <c r="AYQ11" s="164"/>
      <c r="AYR11" s="164"/>
      <c r="AYS11" s="164"/>
      <c r="AYT11" s="164"/>
      <c r="AYU11" s="164"/>
      <c r="AYV11" s="164"/>
      <c r="AYW11" s="164"/>
      <c r="AYX11" s="164"/>
      <c r="AYY11" s="164"/>
      <c r="AYZ11" s="164"/>
      <c r="AZA11" s="164"/>
      <c r="AZB11" s="164"/>
      <c r="AZC11" s="164"/>
      <c r="AZD11" s="164"/>
      <c r="AZE11" s="164"/>
      <c r="AZF11" s="164"/>
      <c r="AZG11" s="164"/>
      <c r="AZH11" s="164"/>
      <c r="AZI11" s="164"/>
      <c r="AZJ11" s="164"/>
      <c r="AZK11" s="164"/>
      <c r="AZL11" s="164"/>
      <c r="AZM11" s="164"/>
      <c r="AZN11" s="164"/>
      <c r="AZO11" s="164"/>
      <c r="AZP11" s="164"/>
      <c r="AZQ11" s="164"/>
      <c r="AZR11" s="164"/>
      <c r="AZS11" s="164"/>
      <c r="AZT11" s="164"/>
      <c r="AZU11" s="164"/>
      <c r="AZV11" s="164"/>
      <c r="AZW11" s="164"/>
      <c r="AZX11" s="164"/>
      <c r="AZY11" s="164"/>
      <c r="AZZ11" s="164"/>
      <c r="BAA11" s="164"/>
      <c r="BAB11" s="164"/>
      <c r="BAC11" s="164"/>
      <c r="BAD11" s="164"/>
      <c r="BAE11" s="164"/>
      <c r="BAF11" s="164"/>
      <c r="BAG11" s="164"/>
      <c r="BAH11" s="163">
        <v>45443</v>
      </c>
      <c r="BAI11" s="164"/>
      <c r="BAJ11" s="164"/>
      <c r="BAK11" s="164"/>
      <c r="BAL11" s="164"/>
      <c r="BAM11" s="164"/>
      <c r="BAN11" s="164"/>
      <c r="BAO11" s="164"/>
      <c r="BAP11" s="164"/>
      <c r="BAQ11" s="164"/>
      <c r="BAR11" s="164"/>
      <c r="BAS11" s="164"/>
      <c r="BAT11" s="164"/>
      <c r="BAU11" s="164"/>
      <c r="BAV11" s="164"/>
      <c r="BAW11" s="164"/>
      <c r="BAX11" s="164"/>
      <c r="BAY11" s="164"/>
      <c r="BAZ11" s="164"/>
      <c r="BBA11" s="164"/>
      <c r="BBB11" s="164"/>
      <c r="BBC11" s="164"/>
      <c r="BBD11" s="164"/>
      <c r="BBE11" s="164"/>
      <c r="BBF11" s="164"/>
      <c r="BBG11" s="164"/>
      <c r="BBH11" s="164"/>
      <c r="BBI11" s="164"/>
      <c r="BBJ11" s="164"/>
      <c r="BBK11" s="164"/>
      <c r="BBL11" s="164"/>
      <c r="BBM11" s="164"/>
      <c r="BBN11" s="164"/>
      <c r="BBO11" s="164"/>
      <c r="BBP11" s="164"/>
      <c r="BBQ11" s="164"/>
      <c r="BBR11" s="164"/>
      <c r="BBS11" s="164"/>
      <c r="BBT11" s="164"/>
      <c r="BBU11" s="164"/>
      <c r="BBV11" s="164"/>
      <c r="BBW11" s="164"/>
      <c r="BBX11" s="164"/>
      <c r="BBY11" s="164"/>
      <c r="BBZ11" s="164"/>
      <c r="BCA11" s="164"/>
      <c r="BCB11" s="164"/>
      <c r="BCC11" s="164"/>
      <c r="BCD11" s="164"/>
      <c r="BCE11" s="164"/>
      <c r="BCF11" s="164"/>
      <c r="BCG11" s="164"/>
      <c r="BCH11" s="164"/>
      <c r="BCI11" s="164"/>
      <c r="BCJ11" s="164"/>
      <c r="BCK11" s="164"/>
      <c r="BCL11" s="164"/>
      <c r="BCM11" s="164"/>
      <c r="BCN11" s="164"/>
      <c r="BCO11" s="164"/>
      <c r="BCP11" s="163">
        <v>45446</v>
      </c>
      <c r="BCQ11" s="164"/>
      <c r="BCR11" s="164"/>
      <c r="BCS11" s="164"/>
      <c r="BCT11" s="164"/>
      <c r="BCU11" s="164"/>
      <c r="BCV11" s="164"/>
      <c r="BCW11" s="164"/>
      <c r="BCX11" s="164"/>
      <c r="BCY11" s="164"/>
      <c r="BCZ11" s="164"/>
      <c r="BDA11" s="164"/>
      <c r="BDB11" s="164"/>
      <c r="BDC11" s="164"/>
      <c r="BDD11" s="164"/>
      <c r="BDE11" s="164"/>
      <c r="BDF11" s="164"/>
      <c r="BDG11" s="164"/>
      <c r="BDH11" s="164"/>
      <c r="BDI11" s="164"/>
      <c r="BDJ11" s="164"/>
      <c r="BDK11" s="164"/>
      <c r="BDL11" s="164"/>
      <c r="BDM11" s="164"/>
      <c r="BDN11" s="164"/>
      <c r="BDO11" s="164"/>
      <c r="BDP11" s="164"/>
      <c r="BDQ11" s="164"/>
      <c r="BDR11" s="164"/>
      <c r="BDS11" s="164"/>
      <c r="BDT11" s="164"/>
      <c r="BDU11" s="164"/>
      <c r="BDV11" s="164"/>
      <c r="BDW11" s="164"/>
      <c r="BDX11" s="164"/>
      <c r="BDY11" s="164"/>
      <c r="BDZ11" s="164"/>
      <c r="BEA11" s="164"/>
      <c r="BEB11" s="164"/>
      <c r="BEC11" s="164"/>
      <c r="BED11" s="164"/>
      <c r="BEE11" s="164"/>
      <c r="BEF11" s="164"/>
      <c r="BEG11" s="164"/>
      <c r="BEH11" s="164"/>
      <c r="BEI11" s="164"/>
      <c r="BEJ11" s="164"/>
      <c r="BEK11" s="164"/>
      <c r="BEL11" s="164"/>
      <c r="BEM11" s="164"/>
      <c r="BEN11" s="164"/>
      <c r="BEO11" s="164"/>
      <c r="BEP11" s="164"/>
      <c r="BEQ11" s="164"/>
      <c r="BER11" s="164"/>
      <c r="BES11" s="164"/>
      <c r="BET11" s="164"/>
      <c r="BEU11" s="164"/>
      <c r="BEV11" s="164"/>
      <c r="BEW11" s="164"/>
      <c r="BEX11" s="75"/>
    </row>
    <row r="12" spans="1:1506" ht="15.75" customHeight="1" thickBot="1" x14ac:dyDescent="0.3">
      <c r="B12" s="81"/>
      <c r="C12" s="192"/>
      <c r="D12" s="192"/>
      <c r="E12" s="192"/>
      <c r="F12" s="182" t="s">
        <v>53</v>
      </c>
      <c r="G12" s="182"/>
      <c r="H12" s="182"/>
      <c r="I12" s="182"/>
      <c r="J12" s="182"/>
      <c r="K12" s="182"/>
      <c r="L12" s="182"/>
      <c r="M12" s="182"/>
      <c r="N12" s="182"/>
      <c r="O12" s="182"/>
      <c r="P12" s="182"/>
      <c r="Q12" s="182"/>
      <c r="R12" s="182"/>
      <c r="S12" s="182"/>
      <c r="T12" s="182"/>
      <c r="U12" s="182"/>
      <c r="V12" s="182"/>
      <c r="W12" s="182"/>
      <c r="X12" s="182"/>
      <c r="Y12" s="182"/>
      <c r="Z12" s="182"/>
      <c r="AA12" s="182"/>
      <c r="AB12" s="182"/>
      <c r="AC12" s="182"/>
      <c r="AD12" s="182"/>
      <c r="AE12" s="182"/>
      <c r="AF12" s="182"/>
      <c r="AG12" s="182"/>
      <c r="AH12" s="182"/>
      <c r="AI12" s="182"/>
      <c r="AJ12" s="182"/>
      <c r="AK12" s="182"/>
      <c r="AL12" s="182"/>
      <c r="AM12" s="182"/>
      <c r="AN12" s="182"/>
      <c r="AO12" s="182"/>
      <c r="AP12" s="182"/>
      <c r="AQ12" s="182"/>
      <c r="AR12" s="182"/>
      <c r="AS12" s="182"/>
      <c r="AT12" s="182"/>
      <c r="AU12" s="182"/>
      <c r="AV12" s="182"/>
      <c r="AW12" s="182"/>
      <c r="AX12" s="182"/>
      <c r="AY12" s="182"/>
      <c r="AZ12" s="182"/>
      <c r="BA12" s="182"/>
      <c r="BB12" s="182"/>
      <c r="BC12" s="182"/>
      <c r="BD12" s="182"/>
      <c r="BE12" s="182"/>
      <c r="BF12" s="182"/>
      <c r="BG12" s="182"/>
      <c r="BH12" s="182"/>
      <c r="BI12" s="182"/>
      <c r="BJ12" s="182"/>
      <c r="BK12" s="182"/>
      <c r="BL12" s="182"/>
      <c r="BM12" s="182"/>
      <c r="BN12" s="182" t="s">
        <v>56</v>
      </c>
      <c r="BO12" s="182"/>
      <c r="BP12" s="182"/>
      <c r="BQ12" s="182"/>
      <c r="BR12" s="182"/>
      <c r="BS12" s="182"/>
      <c r="BT12" s="182"/>
      <c r="BU12" s="182"/>
      <c r="BV12" s="182"/>
      <c r="BW12" s="182"/>
      <c r="BX12" s="182"/>
      <c r="BY12" s="182"/>
      <c r="BZ12" s="182"/>
      <c r="CA12" s="182"/>
      <c r="CB12" s="182"/>
      <c r="CC12" s="182"/>
      <c r="CD12" s="182"/>
      <c r="CE12" s="182"/>
      <c r="CF12" s="182"/>
      <c r="CG12" s="182"/>
      <c r="CH12" s="182"/>
      <c r="CI12" s="182"/>
      <c r="CJ12" s="182"/>
      <c r="CK12" s="182"/>
      <c r="CL12" s="182"/>
      <c r="CM12" s="182"/>
      <c r="CN12" s="182"/>
      <c r="CO12" s="182"/>
      <c r="CP12" s="182"/>
      <c r="CQ12" s="182"/>
      <c r="CR12" s="182"/>
      <c r="CS12" s="182"/>
      <c r="CT12" s="182"/>
      <c r="CU12" s="182"/>
      <c r="CV12" s="182"/>
      <c r="CW12" s="182"/>
      <c r="CX12" s="182"/>
      <c r="CY12" s="182"/>
      <c r="CZ12" s="182"/>
      <c r="DA12" s="182"/>
      <c r="DB12" s="182"/>
      <c r="DC12" s="182"/>
      <c r="DD12" s="182"/>
      <c r="DE12" s="182"/>
      <c r="DF12" s="182"/>
      <c r="DG12" s="182"/>
      <c r="DH12" s="182"/>
      <c r="DI12" s="182"/>
      <c r="DJ12" s="182"/>
      <c r="DK12" s="182"/>
      <c r="DL12" s="182"/>
      <c r="DM12" s="182"/>
      <c r="DN12" s="182"/>
      <c r="DO12" s="182"/>
      <c r="DP12" s="182"/>
      <c r="DQ12" s="182"/>
      <c r="DR12" s="182"/>
      <c r="DS12" s="182"/>
      <c r="DT12" s="182"/>
      <c r="DU12" s="182"/>
      <c r="DV12" s="165" t="s">
        <v>53</v>
      </c>
      <c r="DW12" s="165"/>
      <c r="DX12" s="165"/>
      <c r="DY12" s="165"/>
      <c r="DZ12" s="165"/>
      <c r="EA12" s="165"/>
      <c r="EB12" s="165"/>
      <c r="EC12" s="165"/>
      <c r="ED12" s="165"/>
      <c r="EE12" s="165"/>
      <c r="EF12" s="165"/>
      <c r="EG12" s="165"/>
      <c r="EH12" s="165"/>
      <c r="EI12" s="165"/>
      <c r="EJ12" s="165"/>
      <c r="EK12" s="165"/>
      <c r="EL12" s="165"/>
      <c r="EM12" s="165"/>
      <c r="EN12" s="165"/>
      <c r="EO12" s="165"/>
      <c r="EP12" s="165"/>
      <c r="EQ12" s="165"/>
      <c r="ER12" s="165"/>
      <c r="ES12" s="165"/>
      <c r="ET12" s="165"/>
      <c r="EU12" s="165"/>
      <c r="EV12" s="165"/>
      <c r="EW12" s="165"/>
      <c r="EX12" s="165"/>
      <c r="EY12" s="165"/>
      <c r="EZ12" s="165"/>
      <c r="FA12" s="165"/>
      <c r="FB12" s="165"/>
      <c r="FC12" s="165"/>
      <c r="FD12" s="165"/>
      <c r="FE12" s="165"/>
      <c r="FF12" s="165"/>
      <c r="FG12" s="165"/>
      <c r="FH12" s="165"/>
      <c r="FI12" s="165"/>
      <c r="FJ12" s="165"/>
      <c r="FK12" s="165"/>
      <c r="FL12" s="165"/>
      <c r="FM12" s="165"/>
      <c r="FN12" s="165"/>
      <c r="FO12" s="165"/>
      <c r="FP12" s="165"/>
      <c r="FQ12" s="165"/>
      <c r="FR12" s="165"/>
      <c r="FS12" s="165"/>
      <c r="FT12" s="165"/>
      <c r="FU12" s="165"/>
      <c r="FV12" s="165"/>
      <c r="FW12" s="165"/>
      <c r="FX12" s="165"/>
      <c r="FY12" s="165"/>
      <c r="FZ12" s="165"/>
      <c r="GA12" s="165"/>
      <c r="GB12" s="165"/>
      <c r="GC12" s="165"/>
      <c r="GD12" s="165" t="s">
        <v>56</v>
      </c>
      <c r="GE12" s="165"/>
      <c r="GF12" s="165"/>
      <c r="GG12" s="165"/>
      <c r="GH12" s="165"/>
      <c r="GI12" s="165"/>
      <c r="GJ12" s="165"/>
      <c r="GK12" s="165"/>
      <c r="GL12" s="165"/>
      <c r="GM12" s="165"/>
      <c r="GN12" s="165"/>
      <c r="GO12" s="165"/>
      <c r="GP12" s="165"/>
      <c r="GQ12" s="165"/>
      <c r="GR12" s="165"/>
      <c r="GS12" s="165"/>
      <c r="GT12" s="165"/>
      <c r="GU12" s="165"/>
      <c r="GV12" s="165"/>
      <c r="GW12" s="165"/>
      <c r="GX12" s="165"/>
      <c r="GY12" s="165"/>
      <c r="GZ12" s="165"/>
      <c r="HA12" s="165"/>
      <c r="HB12" s="165"/>
      <c r="HC12" s="165"/>
      <c r="HD12" s="165"/>
      <c r="HE12" s="165"/>
      <c r="HF12" s="165"/>
      <c r="HG12" s="165"/>
      <c r="HH12" s="165"/>
      <c r="HI12" s="165"/>
      <c r="HJ12" s="165"/>
      <c r="HK12" s="165"/>
      <c r="HL12" s="165"/>
      <c r="HM12" s="165"/>
      <c r="HN12" s="165"/>
      <c r="HO12" s="165"/>
      <c r="HP12" s="165"/>
      <c r="HQ12" s="165"/>
      <c r="HR12" s="165"/>
      <c r="HS12" s="165"/>
      <c r="HT12" s="165"/>
      <c r="HU12" s="165"/>
      <c r="HV12" s="165"/>
      <c r="HW12" s="165"/>
      <c r="HX12" s="165"/>
      <c r="HY12" s="165"/>
      <c r="HZ12" s="165"/>
      <c r="IA12" s="165"/>
      <c r="IB12" s="165"/>
      <c r="IC12" s="165"/>
      <c r="ID12" s="165"/>
      <c r="IE12" s="165"/>
      <c r="IF12" s="165"/>
      <c r="IG12" s="165"/>
      <c r="IH12" s="165"/>
      <c r="II12" s="165"/>
      <c r="IJ12" s="165"/>
      <c r="IK12" s="165"/>
      <c r="IL12" s="165" t="s">
        <v>53</v>
      </c>
      <c r="IM12" s="165"/>
      <c r="IN12" s="165"/>
      <c r="IO12" s="165"/>
      <c r="IP12" s="165"/>
      <c r="IQ12" s="165"/>
      <c r="IR12" s="165"/>
      <c r="IS12" s="165"/>
      <c r="IT12" s="165"/>
      <c r="IU12" s="165"/>
      <c r="IV12" s="165"/>
      <c r="IW12" s="165"/>
      <c r="IX12" s="165"/>
      <c r="IY12" s="165"/>
      <c r="IZ12" s="165"/>
      <c r="JA12" s="165"/>
      <c r="JB12" s="165"/>
      <c r="JC12" s="165"/>
      <c r="JD12" s="165"/>
      <c r="JE12" s="165"/>
      <c r="JF12" s="165"/>
      <c r="JG12" s="165"/>
      <c r="JH12" s="165"/>
      <c r="JI12" s="165"/>
      <c r="JJ12" s="165"/>
      <c r="JK12" s="165"/>
      <c r="JL12" s="165"/>
      <c r="JM12" s="165"/>
      <c r="JN12" s="165"/>
      <c r="JO12" s="165"/>
      <c r="JP12" s="165"/>
      <c r="JQ12" s="165"/>
      <c r="JR12" s="165"/>
      <c r="JS12" s="165"/>
      <c r="JT12" s="165"/>
      <c r="JU12" s="165"/>
      <c r="JV12" s="165"/>
      <c r="JW12" s="165"/>
      <c r="JX12" s="165"/>
      <c r="JY12" s="165"/>
      <c r="JZ12" s="165"/>
      <c r="KA12" s="165"/>
      <c r="KB12" s="165"/>
      <c r="KC12" s="165"/>
      <c r="KD12" s="165"/>
      <c r="KE12" s="165"/>
      <c r="KF12" s="165"/>
      <c r="KG12" s="165"/>
      <c r="KH12" s="165"/>
      <c r="KI12" s="165"/>
      <c r="KJ12" s="165"/>
      <c r="KK12" s="165"/>
      <c r="KL12" s="165"/>
      <c r="KM12" s="165"/>
      <c r="KN12" s="165"/>
      <c r="KO12" s="165"/>
      <c r="KP12" s="165"/>
      <c r="KQ12" s="165"/>
      <c r="KR12" s="165"/>
      <c r="KS12" s="165"/>
      <c r="KT12" s="165" t="s">
        <v>56</v>
      </c>
      <c r="KU12" s="165"/>
      <c r="KV12" s="165"/>
      <c r="KW12" s="165"/>
      <c r="KX12" s="165"/>
      <c r="KY12" s="165"/>
      <c r="KZ12" s="165"/>
      <c r="LA12" s="165"/>
      <c r="LB12" s="165"/>
      <c r="LC12" s="165"/>
      <c r="LD12" s="165"/>
      <c r="LE12" s="165"/>
      <c r="LF12" s="165"/>
      <c r="LG12" s="165"/>
      <c r="LH12" s="165"/>
      <c r="LI12" s="165"/>
      <c r="LJ12" s="165"/>
      <c r="LK12" s="165"/>
      <c r="LL12" s="165"/>
      <c r="LM12" s="165"/>
      <c r="LN12" s="165"/>
      <c r="LO12" s="165"/>
      <c r="LP12" s="165"/>
      <c r="LQ12" s="165"/>
      <c r="LR12" s="165"/>
      <c r="LS12" s="165"/>
      <c r="LT12" s="165"/>
      <c r="LU12" s="165"/>
      <c r="LV12" s="165"/>
      <c r="LW12" s="165"/>
      <c r="LX12" s="165"/>
      <c r="LY12" s="165"/>
      <c r="LZ12" s="165"/>
      <c r="MA12" s="165"/>
      <c r="MB12" s="165"/>
      <c r="MC12" s="165"/>
      <c r="MD12" s="165"/>
      <c r="ME12" s="165"/>
      <c r="MF12" s="165"/>
      <c r="MG12" s="165"/>
      <c r="MH12" s="165"/>
      <c r="MI12" s="165"/>
      <c r="MJ12" s="165"/>
      <c r="MK12" s="165"/>
      <c r="ML12" s="165"/>
      <c r="MM12" s="165"/>
      <c r="MN12" s="165"/>
      <c r="MO12" s="165"/>
      <c r="MP12" s="165"/>
      <c r="MQ12" s="165"/>
      <c r="MR12" s="165"/>
      <c r="MS12" s="165"/>
      <c r="MT12" s="165"/>
      <c r="MU12" s="165"/>
      <c r="MV12" s="165"/>
      <c r="MW12" s="165"/>
      <c r="MX12" s="165"/>
      <c r="MY12" s="165"/>
      <c r="MZ12" s="165"/>
      <c r="NA12" s="165"/>
      <c r="NB12" s="165" t="s">
        <v>53</v>
      </c>
      <c r="NC12" s="165"/>
      <c r="ND12" s="165"/>
      <c r="NE12" s="165"/>
      <c r="NF12" s="165"/>
      <c r="NG12" s="165"/>
      <c r="NH12" s="165"/>
      <c r="NI12" s="165"/>
      <c r="NJ12" s="165"/>
      <c r="NK12" s="165"/>
      <c r="NL12" s="165"/>
      <c r="NM12" s="165"/>
      <c r="NN12" s="165"/>
      <c r="NO12" s="165"/>
      <c r="NP12" s="165"/>
      <c r="NQ12" s="165"/>
      <c r="NR12" s="165"/>
      <c r="NS12" s="165"/>
      <c r="NT12" s="165"/>
      <c r="NU12" s="165"/>
      <c r="NV12" s="165"/>
      <c r="NW12" s="165"/>
      <c r="NX12" s="165"/>
      <c r="NY12" s="165"/>
      <c r="NZ12" s="165"/>
      <c r="OA12" s="165"/>
      <c r="OB12" s="165"/>
      <c r="OC12" s="165"/>
      <c r="OD12" s="165"/>
      <c r="OE12" s="165"/>
      <c r="OF12" s="165"/>
      <c r="OG12" s="165"/>
      <c r="OH12" s="165"/>
      <c r="OI12" s="165"/>
      <c r="OJ12" s="165"/>
      <c r="OK12" s="165"/>
      <c r="OL12" s="165"/>
      <c r="OM12" s="165"/>
      <c r="ON12" s="165"/>
      <c r="OO12" s="165"/>
      <c r="OP12" s="165"/>
      <c r="OQ12" s="165"/>
      <c r="OR12" s="165"/>
      <c r="OS12" s="165"/>
      <c r="OT12" s="165"/>
      <c r="OU12" s="165"/>
      <c r="OV12" s="165"/>
      <c r="OW12" s="165"/>
      <c r="OX12" s="165"/>
      <c r="OY12" s="165"/>
      <c r="OZ12" s="165"/>
      <c r="PA12" s="165"/>
      <c r="PB12" s="165"/>
      <c r="PC12" s="165"/>
      <c r="PD12" s="165"/>
      <c r="PE12" s="165"/>
      <c r="PF12" s="165"/>
      <c r="PG12" s="165"/>
      <c r="PH12" s="165"/>
      <c r="PI12" s="165"/>
      <c r="PJ12" s="165" t="s">
        <v>56</v>
      </c>
      <c r="PK12" s="165"/>
      <c r="PL12" s="165"/>
      <c r="PM12" s="165"/>
      <c r="PN12" s="165"/>
      <c r="PO12" s="165"/>
      <c r="PP12" s="165"/>
      <c r="PQ12" s="165"/>
      <c r="PR12" s="165"/>
      <c r="PS12" s="165"/>
      <c r="PT12" s="165"/>
      <c r="PU12" s="165"/>
      <c r="PV12" s="165"/>
      <c r="PW12" s="165"/>
      <c r="PX12" s="165"/>
      <c r="PY12" s="165"/>
      <c r="PZ12" s="165"/>
      <c r="QA12" s="165"/>
      <c r="QB12" s="165"/>
      <c r="QC12" s="165"/>
      <c r="QD12" s="165"/>
      <c r="QE12" s="165"/>
      <c r="QF12" s="165"/>
      <c r="QG12" s="165"/>
      <c r="QH12" s="165"/>
      <c r="QI12" s="165"/>
      <c r="QJ12" s="165"/>
      <c r="QK12" s="165"/>
      <c r="QL12" s="165"/>
      <c r="QM12" s="165"/>
      <c r="QN12" s="165"/>
      <c r="QO12" s="165"/>
      <c r="QP12" s="165"/>
      <c r="QQ12" s="165"/>
      <c r="QR12" s="165"/>
      <c r="QS12" s="165"/>
      <c r="QT12" s="165"/>
      <c r="QU12" s="165"/>
      <c r="QV12" s="165"/>
      <c r="QW12" s="165"/>
      <c r="QX12" s="165"/>
      <c r="QY12" s="165"/>
      <c r="QZ12" s="165"/>
      <c r="RA12" s="165"/>
      <c r="RB12" s="165"/>
      <c r="RC12" s="165"/>
      <c r="RD12" s="165"/>
      <c r="RE12" s="165"/>
      <c r="RF12" s="165"/>
      <c r="RG12" s="165"/>
      <c r="RH12" s="165"/>
      <c r="RI12" s="165"/>
      <c r="RJ12" s="165"/>
      <c r="RK12" s="165"/>
      <c r="RL12" s="165"/>
      <c r="RM12" s="165"/>
      <c r="RN12" s="165"/>
      <c r="RO12" s="165"/>
      <c r="RP12" s="165"/>
      <c r="RQ12" s="165"/>
      <c r="RR12" s="165" t="s">
        <v>53</v>
      </c>
      <c r="RS12" s="165"/>
      <c r="RT12" s="165"/>
      <c r="RU12" s="165"/>
      <c r="RV12" s="165"/>
      <c r="RW12" s="165"/>
      <c r="RX12" s="165"/>
      <c r="RY12" s="165"/>
      <c r="RZ12" s="165"/>
      <c r="SA12" s="165"/>
      <c r="SB12" s="165"/>
      <c r="SC12" s="165"/>
      <c r="SD12" s="165"/>
      <c r="SE12" s="165"/>
      <c r="SF12" s="165"/>
      <c r="SG12" s="165"/>
      <c r="SH12" s="165"/>
      <c r="SI12" s="165"/>
      <c r="SJ12" s="165"/>
      <c r="SK12" s="165"/>
      <c r="SL12" s="165"/>
      <c r="SM12" s="165"/>
      <c r="SN12" s="165"/>
      <c r="SO12" s="165"/>
      <c r="SP12" s="165"/>
      <c r="SQ12" s="165"/>
      <c r="SR12" s="165"/>
      <c r="SS12" s="165"/>
      <c r="ST12" s="165"/>
      <c r="SU12" s="165"/>
      <c r="SV12" s="165"/>
      <c r="SW12" s="165"/>
      <c r="SX12" s="165"/>
      <c r="SY12" s="165"/>
      <c r="SZ12" s="165"/>
      <c r="TA12" s="165"/>
      <c r="TB12" s="165"/>
      <c r="TC12" s="165"/>
      <c r="TD12" s="165"/>
      <c r="TE12" s="165"/>
      <c r="TF12" s="165"/>
      <c r="TG12" s="165"/>
      <c r="TH12" s="165"/>
      <c r="TI12" s="165"/>
      <c r="TJ12" s="165"/>
      <c r="TK12" s="165"/>
      <c r="TL12" s="165"/>
      <c r="TM12" s="165"/>
      <c r="TN12" s="165"/>
      <c r="TO12" s="165"/>
      <c r="TP12" s="165"/>
      <c r="TQ12" s="165"/>
      <c r="TR12" s="165"/>
      <c r="TS12" s="165"/>
      <c r="TT12" s="165"/>
      <c r="TU12" s="165"/>
      <c r="TV12" s="165"/>
      <c r="TW12" s="165"/>
      <c r="TX12" s="165"/>
      <c r="TY12" s="165"/>
      <c r="TZ12" s="165" t="s">
        <v>56</v>
      </c>
      <c r="UA12" s="165"/>
      <c r="UB12" s="165"/>
      <c r="UC12" s="165"/>
      <c r="UD12" s="165"/>
      <c r="UE12" s="165"/>
      <c r="UF12" s="165"/>
      <c r="UG12" s="165"/>
      <c r="UH12" s="165"/>
      <c r="UI12" s="165"/>
      <c r="UJ12" s="165"/>
      <c r="UK12" s="165"/>
      <c r="UL12" s="165"/>
      <c r="UM12" s="165"/>
      <c r="UN12" s="165"/>
      <c r="UO12" s="165"/>
      <c r="UP12" s="165"/>
      <c r="UQ12" s="165"/>
      <c r="UR12" s="165"/>
      <c r="US12" s="165"/>
      <c r="UT12" s="165"/>
      <c r="UU12" s="165"/>
      <c r="UV12" s="165"/>
      <c r="UW12" s="165"/>
      <c r="UX12" s="165"/>
      <c r="UY12" s="165"/>
      <c r="UZ12" s="165"/>
      <c r="VA12" s="165"/>
      <c r="VB12" s="165"/>
      <c r="VC12" s="165"/>
      <c r="VD12" s="165"/>
      <c r="VE12" s="165"/>
      <c r="VF12" s="165"/>
      <c r="VG12" s="165"/>
      <c r="VH12" s="165"/>
      <c r="VI12" s="165"/>
      <c r="VJ12" s="165"/>
      <c r="VK12" s="165"/>
      <c r="VL12" s="165"/>
      <c r="VM12" s="165"/>
      <c r="VN12" s="165"/>
      <c r="VO12" s="165"/>
      <c r="VP12" s="165"/>
      <c r="VQ12" s="165"/>
      <c r="VR12" s="165"/>
      <c r="VS12" s="165"/>
      <c r="VT12" s="165"/>
      <c r="VU12" s="165"/>
      <c r="VV12" s="165"/>
      <c r="VW12" s="165"/>
      <c r="VX12" s="165"/>
      <c r="VY12" s="165"/>
      <c r="VZ12" s="165"/>
      <c r="WA12" s="165"/>
      <c r="WB12" s="165"/>
      <c r="WC12" s="165"/>
      <c r="WD12" s="165"/>
      <c r="WE12" s="165"/>
      <c r="WF12" s="165"/>
      <c r="WG12" s="165"/>
      <c r="WH12" s="165" t="s">
        <v>53</v>
      </c>
      <c r="WI12" s="165"/>
      <c r="WJ12" s="165"/>
      <c r="WK12" s="165"/>
      <c r="WL12" s="165"/>
      <c r="WM12" s="165"/>
      <c r="WN12" s="165"/>
      <c r="WO12" s="165"/>
      <c r="WP12" s="165"/>
      <c r="WQ12" s="165"/>
      <c r="WR12" s="165"/>
      <c r="WS12" s="165"/>
      <c r="WT12" s="165"/>
      <c r="WU12" s="165"/>
      <c r="WV12" s="165"/>
      <c r="WW12" s="165"/>
      <c r="WX12" s="165"/>
      <c r="WY12" s="165"/>
      <c r="WZ12" s="165"/>
      <c r="XA12" s="165"/>
      <c r="XB12" s="165"/>
      <c r="XC12" s="165"/>
      <c r="XD12" s="165"/>
      <c r="XE12" s="165"/>
      <c r="XF12" s="165"/>
      <c r="XG12" s="165"/>
      <c r="XH12" s="165"/>
      <c r="XI12" s="165"/>
      <c r="XJ12" s="165"/>
      <c r="XK12" s="165"/>
      <c r="XL12" s="165"/>
      <c r="XM12" s="165"/>
      <c r="XN12" s="165"/>
      <c r="XO12" s="165"/>
      <c r="XP12" s="165"/>
      <c r="XQ12" s="165"/>
      <c r="XR12" s="165"/>
      <c r="XS12" s="165"/>
      <c r="XT12" s="165"/>
      <c r="XU12" s="165"/>
      <c r="XV12" s="165"/>
      <c r="XW12" s="165"/>
      <c r="XX12" s="165"/>
      <c r="XY12" s="165"/>
      <c r="XZ12" s="165"/>
      <c r="YA12" s="165"/>
      <c r="YB12" s="165"/>
      <c r="YC12" s="165"/>
      <c r="YD12" s="165"/>
      <c r="YE12" s="165"/>
      <c r="YF12" s="165"/>
      <c r="YG12" s="165"/>
      <c r="YH12" s="165"/>
      <c r="YI12" s="165"/>
      <c r="YJ12" s="165"/>
      <c r="YK12" s="165"/>
      <c r="YL12" s="165"/>
      <c r="YM12" s="165"/>
      <c r="YN12" s="165"/>
      <c r="YO12" s="165"/>
      <c r="YP12" s="165" t="s">
        <v>53</v>
      </c>
      <c r="YQ12" s="165"/>
      <c r="YR12" s="165"/>
      <c r="YS12" s="165"/>
      <c r="YT12" s="165"/>
      <c r="YU12" s="165"/>
      <c r="YV12" s="165"/>
      <c r="YW12" s="165"/>
      <c r="YX12" s="165"/>
      <c r="YY12" s="165"/>
      <c r="YZ12" s="165"/>
      <c r="ZA12" s="165"/>
      <c r="ZB12" s="165"/>
      <c r="ZC12" s="165"/>
      <c r="ZD12" s="165"/>
      <c r="ZE12" s="165"/>
      <c r="ZF12" s="165"/>
      <c r="ZG12" s="165"/>
      <c r="ZH12" s="165"/>
      <c r="ZI12" s="165"/>
      <c r="ZJ12" s="165"/>
      <c r="ZK12" s="165"/>
      <c r="ZL12" s="165"/>
      <c r="ZM12" s="165"/>
      <c r="ZN12" s="165"/>
      <c r="ZO12" s="165"/>
      <c r="ZP12" s="165"/>
      <c r="ZQ12" s="165"/>
      <c r="ZR12" s="165"/>
      <c r="ZS12" s="165"/>
      <c r="ZT12" s="165"/>
      <c r="ZU12" s="165"/>
      <c r="ZV12" s="165"/>
      <c r="ZW12" s="165"/>
      <c r="ZX12" s="165"/>
      <c r="ZY12" s="165"/>
      <c r="ZZ12" s="165"/>
      <c r="AAA12" s="165"/>
      <c r="AAB12" s="165"/>
      <c r="AAC12" s="165"/>
      <c r="AAD12" s="165"/>
      <c r="AAE12" s="165"/>
      <c r="AAF12" s="165"/>
      <c r="AAG12" s="165"/>
      <c r="AAH12" s="165"/>
      <c r="AAI12" s="165"/>
      <c r="AAJ12" s="165"/>
      <c r="AAK12" s="165"/>
      <c r="AAL12" s="165"/>
      <c r="AAM12" s="165"/>
      <c r="AAN12" s="165"/>
      <c r="AAO12" s="165"/>
      <c r="AAP12" s="165"/>
      <c r="AAQ12" s="165"/>
      <c r="AAR12" s="165"/>
      <c r="AAS12" s="165"/>
      <c r="AAT12" s="165"/>
      <c r="AAU12" s="165"/>
      <c r="AAV12" s="165"/>
      <c r="AAW12" s="165"/>
      <c r="AAX12" s="165" t="s">
        <v>56</v>
      </c>
      <c r="AAY12" s="165"/>
      <c r="AAZ12" s="165"/>
      <c r="ABA12" s="165"/>
      <c r="ABB12" s="165"/>
      <c r="ABC12" s="165"/>
      <c r="ABD12" s="165"/>
      <c r="ABE12" s="165"/>
      <c r="ABF12" s="165"/>
      <c r="ABG12" s="165"/>
      <c r="ABH12" s="165"/>
      <c r="ABI12" s="165"/>
      <c r="ABJ12" s="165"/>
      <c r="ABK12" s="165"/>
      <c r="ABL12" s="165"/>
      <c r="ABM12" s="165"/>
      <c r="ABN12" s="165"/>
      <c r="ABO12" s="165"/>
      <c r="ABP12" s="165"/>
      <c r="ABQ12" s="165"/>
      <c r="ABR12" s="165"/>
      <c r="ABS12" s="165"/>
      <c r="ABT12" s="165"/>
      <c r="ABU12" s="165"/>
      <c r="ABV12" s="165"/>
      <c r="ABW12" s="165"/>
      <c r="ABX12" s="165"/>
      <c r="ABY12" s="165"/>
      <c r="ABZ12" s="165"/>
      <c r="ACA12" s="165"/>
      <c r="ACB12" s="165"/>
      <c r="ACC12" s="165"/>
      <c r="ACD12" s="165"/>
      <c r="ACE12" s="165"/>
      <c r="ACF12" s="165"/>
      <c r="ACG12" s="165"/>
      <c r="ACH12" s="165"/>
      <c r="ACI12" s="165"/>
      <c r="ACJ12" s="165"/>
      <c r="ACK12" s="165"/>
      <c r="ACL12" s="165"/>
      <c r="ACM12" s="165"/>
      <c r="ACN12" s="165"/>
      <c r="ACO12" s="165"/>
      <c r="ACP12" s="165"/>
      <c r="ACQ12" s="165"/>
      <c r="ACR12" s="165"/>
      <c r="ACS12" s="165"/>
      <c r="ACT12" s="165"/>
      <c r="ACU12" s="165"/>
      <c r="ACV12" s="165"/>
      <c r="ACW12" s="165"/>
      <c r="ACX12" s="165"/>
      <c r="ACY12" s="165"/>
      <c r="ACZ12" s="165"/>
      <c r="ADA12" s="165"/>
      <c r="ADB12" s="165"/>
      <c r="ADC12" s="165"/>
      <c r="ADD12" s="165"/>
      <c r="ADE12" s="165"/>
      <c r="ADF12" s="165" t="s">
        <v>53</v>
      </c>
      <c r="ADG12" s="165"/>
      <c r="ADH12" s="165"/>
      <c r="ADI12" s="165"/>
      <c r="ADJ12" s="165"/>
      <c r="ADK12" s="165"/>
      <c r="ADL12" s="165"/>
      <c r="ADM12" s="165"/>
      <c r="ADN12" s="165"/>
      <c r="ADO12" s="165"/>
      <c r="ADP12" s="165"/>
      <c r="ADQ12" s="165"/>
      <c r="ADR12" s="165"/>
      <c r="ADS12" s="165"/>
      <c r="ADT12" s="165"/>
      <c r="ADU12" s="165"/>
      <c r="ADV12" s="165"/>
      <c r="ADW12" s="165"/>
      <c r="ADX12" s="165"/>
      <c r="ADY12" s="165"/>
      <c r="ADZ12" s="165"/>
      <c r="AEA12" s="165"/>
      <c r="AEB12" s="165"/>
      <c r="AEC12" s="165"/>
      <c r="AED12" s="165"/>
      <c r="AEE12" s="165"/>
      <c r="AEF12" s="165"/>
      <c r="AEG12" s="165"/>
      <c r="AEH12" s="165"/>
      <c r="AEI12" s="165"/>
      <c r="AEJ12" s="165"/>
      <c r="AEK12" s="165"/>
      <c r="AEL12" s="165"/>
      <c r="AEM12" s="165"/>
      <c r="AEN12" s="165"/>
      <c r="AEO12" s="165"/>
      <c r="AEP12" s="165"/>
      <c r="AEQ12" s="165"/>
      <c r="AER12" s="165"/>
      <c r="AES12" s="165"/>
      <c r="AET12" s="165"/>
      <c r="AEU12" s="165"/>
      <c r="AEV12" s="165"/>
      <c r="AEW12" s="165"/>
      <c r="AEX12" s="165"/>
      <c r="AEY12" s="165"/>
      <c r="AEZ12" s="165"/>
      <c r="AFA12" s="165"/>
      <c r="AFB12" s="165"/>
      <c r="AFC12" s="165"/>
      <c r="AFD12" s="165"/>
      <c r="AFE12" s="165"/>
      <c r="AFF12" s="165"/>
      <c r="AFG12" s="165"/>
      <c r="AFH12" s="165"/>
      <c r="AFI12" s="165"/>
      <c r="AFJ12" s="165"/>
      <c r="AFK12" s="165"/>
      <c r="AFL12" s="165"/>
      <c r="AFM12" s="165"/>
      <c r="AFN12" s="165" t="s">
        <v>56</v>
      </c>
      <c r="AFO12" s="165"/>
      <c r="AFP12" s="165"/>
      <c r="AFQ12" s="165"/>
      <c r="AFR12" s="165"/>
      <c r="AFS12" s="165"/>
      <c r="AFT12" s="165"/>
      <c r="AFU12" s="165"/>
      <c r="AFV12" s="165"/>
      <c r="AFW12" s="165"/>
      <c r="AFX12" s="165"/>
      <c r="AFY12" s="165"/>
      <c r="AFZ12" s="165"/>
      <c r="AGA12" s="165"/>
      <c r="AGB12" s="165"/>
      <c r="AGC12" s="165"/>
      <c r="AGD12" s="165"/>
      <c r="AGE12" s="165"/>
      <c r="AGF12" s="165"/>
      <c r="AGG12" s="165"/>
      <c r="AGH12" s="165"/>
      <c r="AGI12" s="165"/>
      <c r="AGJ12" s="165"/>
      <c r="AGK12" s="165"/>
      <c r="AGL12" s="165"/>
      <c r="AGM12" s="165"/>
      <c r="AGN12" s="165"/>
      <c r="AGO12" s="165"/>
      <c r="AGP12" s="165"/>
      <c r="AGQ12" s="165"/>
      <c r="AGR12" s="165"/>
      <c r="AGS12" s="165"/>
      <c r="AGT12" s="165"/>
      <c r="AGU12" s="165"/>
      <c r="AGV12" s="165"/>
      <c r="AGW12" s="165"/>
      <c r="AGX12" s="165"/>
      <c r="AGY12" s="165"/>
      <c r="AGZ12" s="165"/>
      <c r="AHA12" s="165"/>
      <c r="AHB12" s="165"/>
      <c r="AHC12" s="165"/>
      <c r="AHD12" s="165"/>
      <c r="AHE12" s="165"/>
      <c r="AHF12" s="165"/>
      <c r="AHG12" s="165"/>
      <c r="AHH12" s="165"/>
      <c r="AHI12" s="165"/>
      <c r="AHJ12" s="165"/>
      <c r="AHK12" s="165"/>
      <c r="AHL12" s="165"/>
      <c r="AHM12" s="165"/>
      <c r="AHN12" s="165"/>
      <c r="AHO12" s="165"/>
      <c r="AHP12" s="165"/>
      <c r="AHQ12" s="165"/>
      <c r="AHR12" s="165"/>
      <c r="AHS12" s="165"/>
      <c r="AHT12" s="165"/>
      <c r="AHU12" s="165"/>
      <c r="AHV12" s="165" t="s">
        <v>53</v>
      </c>
      <c r="AHW12" s="165"/>
      <c r="AHX12" s="165"/>
      <c r="AHY12" s="165"/>
      <c r="AHZ12" s="165"/>
      <c r="AIA12" s="165"/>
      <c r="AIB12" s="165"/>
      <c r="AIC12" s="165"/>
      <c r="AID12" s="165"/>
      <c r="AIE12" s="165"/>
      <c r="AIF12" s="165"/>
      <c r="AIG12" s="165"/>
      <c r="AIH12" s="165"/>
      <c r="AII12" s="165"/>
      <c r="AIJ12" s="165"/>
      <c r="AIK12" s="165"/>
      <c r="AIL12" s="165"/>
      <c r="AIM12" s="165"/>
      <c r="AIN12" s="165"/>
      <c r="AIO12" s="165"/>
      <c r="AIP12" s="165"/>
      <c r="AIQ12" s="165"/>
      <c r="AIR12" s="165"/>
      <c r="AIS12" s="165"/>
      <c r="AIT12" s="165"/>
      <c r="AIU12" s="165"/>
      <c r="AIV12" s="165"/>
      <c r="AIW12" s="165"/>
      <c r="AIX12" s="165"/>
      <c r="AIY12" s="165"/>
      <c r="AIZ12" s="165"/>
      <c r="AJA12" s="165"/>
      <c r="AJB12" s="165"/>
      <c r="AJC12" s="165"/>
      <c r="AJD12" s="165"/>
      <c r="AJE12" s="165"/>
      <c r="AJF12" s="165"/>
      <c r="AJG12" s="165"/>
      <c r="AJH12" s="165"/>
      <c r="AJI12" s="165"/>
      <c r="AJJ12" s="165"/>
      <c r="AJK12" s="165"/>
      <c r="AJL12" s="165"/>
      <c r="AJM12" s="165"/>
      <c r="AJN12" s="165"/>
      <c r="AJO12" s="165"/>
      <c r="AJP12" s="165"/>
      <c r="AJQ12" s="165"/>
      <c r="AJR12" s="165"/>
      <c r="AJS12" s="165"/>
      <c r="AJT12" s="165"/>
      <c r="AJU12" s="165"/>
      <c r="AJV12" s="165"/>
      <c r="AJW12" s="165"/>
      <c r="AJX12" s="165"/>
      <c r="AJY12" s="165"/>
      <c r="AJZ12" s="165"/>
      <c r="AKA12" s="165"/>
      <c r="AKB12" s="165"/>
      <c r="AKC12" s="165"/>
      <c r="AKD12" s="165" t="s">
        <v>53</v>
      </c>
      <c r="AKE12" s="165"/>
      <c r="AKF12" s="165"/>
      <c r="AKG12" s="165"/>
      <c r="AKH12" s="165"/>
      <c r="AKI12" s="165"/>
      <c r="AKJ12" s="165"/>
      <c r="AKK12" s="165"/>
      <c r="AKL12" s="165"/>
      <c r="AKM12" s="165"/>
      <c r="AKN12" s="165"/>
      <c r="AKO12" s="165"/>
      <c r="AKP12" s="165"/>
      <c r="AKQ12" s="165"/>
      <c r="AKR12" s="165"/>
      <c r="AKS12" s="165"/>
      <c r="AKT12" s="165"/>
      <c r="AKU12" s="165"/>
      <c r="AKV12" s="165"/>
      <c r="AKW12" s="165"/>
      <c r="AKX12" s="165"/>
      <c r="AKY12" s="165"/>
      <c r="AKZ12" s="165"/>
      <c r="ALA12" s="165"/>
      <c r="ALB12" s="165"/>
      <c r="ALC12" s="165"/>
      <c r="ALD12" s="165"/>
      <c r="ALE12" s="165"/>
      <c r="ALF12" s="165"/>
      <c r="ALG12" s="165"/>
      <c r="ALH12" s="165"/>
      <c r="ALI12" s="165"/>
      <c r="ALJ12" s="165"/>
      <c r="ALK12" s="165"/>
      <c r="ALL12" s="165"/>
      <c r="ALM12" s="165"/>
      <c r="ALN12" s="165"/>
      <c r="ALO12" s="165"/>
      <c r="ALP12" s="165"/>
      <c r="ALQ12" s="165"/>
      <c r="ALR12" s="165"/>
      <c r="ALS12" s="165"/>
      <c r="ALT12" s="165"/>
      <c r="ALU12" s="165"/>
      <c r="ALV12" s="165"/>
      <c r="ALW12" s="165"/>
      <c r="ALX12" s="165"/>
      <c r="ALY12" s="165"/>
      <c r="ALZ12" s="165"/>
      <c r="AMA12" s="165"/>
      <c r="AMB12" s="165"/>
      <c r="AMC12" s="165"/>
      <c r="AMD12" s="165"/>
      <c r="AME12" s="165"/>
      <c r="AMF12" s="165"/>
      <c r="AMG12" s="165"/>
      <c r="AMH12" s="165"/>
      <c r="AMI12" s="165"/>
      <c r="AMJ12" s="165"/>
      <c r="AMK12" s="165"/>
      <c r="AML12" s="165" t="s">
        <v>56</v>
      </c>
      <c r="AMM12" s="165"/>
      <c r="AMN12" s="165"/>
      <c r="AMO12" s="165"/>
      <c r="AMP12" s="165"/>
      <c r="AMQ12" s="165"/>
      <c r="AMR12" s="165"/>
      <c r="AMS12" s="165"/>
      <c r="AMT12" s="165"/>
      <c r="AMU12" s="165"/>
      <c r="AMV12" s="165"/>
      <c r="AMW12" s="165"/>
      <c r="AMX12" s="165"/>
      <c r="AMY12" s="165"/>
      <c r="AMZ12" s="165"/>
      <c r="ANA12" s="165"/>
      <c r="ANB12" s="165"/>
      <c r="ANC12" s="165"/>
      <c r="AND12" s="165"/>
      <c r="ANE12" s="165"/>
      <c r="ANF12" s="165"/>
      <c r="ANG12" s="165"/>
      <c r="ANH12" s="165"/>
      <c r="ANI12" s="165"/>
      <c r="ANJ12" s="165"/>
      <c r="ANK12" s="165"/>
      <c r="ANL12" s="165"/>
      <c r="ANM12" s="165"/>
      <c r="ANN12" s="165"/>
      <c r="ANO12" s="165"/>
      <c r="ANP12" s="165"/>
      <c r="ANQ12" s="165"/>
      <c r="ANR12" s="165"/>
      <c r="ANS12" s="165"/>
      <c r="ANT12" s="165"/>
      <c r="ANU12" s="165"/>
      <c r="ANV12" s="165"/>
      <c r="ANW12" s="165"/>
      <c r="ANX12" s="165"/>
      <c r="ANY12" s="165"/>
      <c r="ANZ12" s="165"/>
      <c r="AOA12" s="165"/>
      <c r="AOB12" s="165"/>
      <c r="AOC12" s="165"/>
      <c r="AOD12" s="165"/>
      <c r="AOE12" s="165"/>
      <c r="AOF12" s="165"/>
      <c r="AOG12" s="165"/>
      <c r="AOH12" s="165"/>
      <c r="AOI12" s="165"/>
      <c r="AOJ12" s="165"/>
      <c r="AOK12" s="165"/>
      <c r="AOL12" s="165"/>
      <c r="AOM12" s="165"/>
      <c r="AON12" s="165"/>
      <c r="AOO12" s="165"/>
      <c r="AOP12" s="165"/>
      <c r="AOQ12" s="165"/>
      <c r="AOR12" s="165"/>
      <c r="AOS12" s="165"/>
      <c r="AOT12" s="165" t="s">
        <v>53</v>
      </c>
      <c r="AOU12" s="165"/>
      <c r="AOV12" s="165"/>
      <c r="AOW12" s="165"/>
      <c r="AOX12" s="165"/>
      <c r="AOY12" s="165"/>
      <c r="AOZ12" s="165"/>
      <c r="APA12" s="165"/>
      <c r="APB12" s="165"/>
      <c r="APC12" s="165"/>
      <c r="APD12" s="165"/>
      <c r="APE12" s="165"/>
      <c r="APF12" s="165"/>
      <c r="APG12" s="165"/>
      <c r="APH12" s="165"/>
      <c r="API12" s="165"/>
      <c r="APJ12" s="165"/>
      <c r="APK12" s="165"/>
      <c r="APL12" s="165"/>
      <c r="APM12" s="165"/>
      <c r="APN12" s="165"/>
      <c r="APO12" s="165"/>
      <c r="APP12" s="165"/>
      <c r="APQ12" s="165"/>
      <c r="APR12" s="165"/>
      <c r="APS12" s="165"/>
      <c r="APT12" s="165"/>
      <c r="APU12" s="165"/>
      <c r="APV12" s="165"/>
      <c r="APW12" s="165"/>
      <c r="APX12" s="165"/>
      <c r="APY12" s="165"/>
      <c r="APZ12" s="165"/>
      <c r="AQA12" s="165"/>
      <c r="AQB12" s="165"/>
      <c r="AQC12" s="165"/>
      <c r="AQD12" s="165"/>
      <c r="AQE12" s="165"/>
      <c r="AQF12" s="165"/>
      <c r="AQG12" s="165"/>
      <c r="AQH12" s="165"/>
      <c r="AQI12" s="165"/>
      <c r="AQJ12" s="165"/>
      <c r="AQK12" s="165"/>
      <c r="AQL12" s="165"/>
      <c r="AQM12" s="165"/>
      <c r="AQN12" s="165"/>
      <c r="AQO12" s="165"/>
      <c r="AQP12" s="165"/>
      <c r="AQQ12" s="165"/>
      <c r="AQR12" s="165"/>
      <c r="AQS12" s="165"/>
      <c r="AQT12" s="165"/>
      <c r="AQU12" s="165"/>
      <c r="AQV12" s="165"/>
      <c r="AQW12" s="165"/>
      <c r="AQX12" s="165"/>
      <c r="AQY12" s="165"/>
      <c r="AQZ12" s="165"/>
      <c r="ARA12" s="165"/>
      <c r="ARB12" s="165" t="s">
        <v>56</v>
      </c>
      <c r="ARC12" s="165"/>
      <c r="ARD12" s="165"/>
      <c r="ARE12" s="165"/>
      <c r="ARF12" s="165"/>
      <c r="ARG12" s="165"/>
      <c r="ARH12" s="165"/>
      <c r="ARI12" s="165"/>
      <c r="ARJ12" s="165"/>
      <c r="ARK12" s="165"/>
      <c r="ARL12" s="165"/>
      <c r="ARM12" s="165"/>
      <c r="ARN12" s="165"/>
      <c r="ARO12" s="165"/>
      <c r="ARP12" s="165"/>
      <c r="ARQ12" s="165"/>
      <c r="ARR12" s="165"/>
      <c r="ARS12" s="165"/>
      <c r="ART12" s="165"/>
      <c r="ARU12" s="165"/>
      <c r="ARV12" s="165"/>
      <c r="ARW12" s="165"/>
      <c r="ARX12" s="165"/>
      <c r="ARY12" s="165"/>
      <c r="ARZ12" s="165"/>
      <c r="ASA12" s="165"/>
      <c r="ASB12" s="165"/>
      <c r="ASC12" s="165"/>
      <c r="ASD12" s="165"/>
      <c r="ASE12" s="165"/>
      <c r="ASF12" s="165"/>
      <c r="ASG12" s="165"/>
      <c r="ASH12" s="165"/>
      <c r="ASI12" s="165"/>
      <c r="ASJ12" s="165"/>
      <c r="ASK12" s="165"/>
      <c r="ASL12" s="165"/>
      <c r="ASM12" s="165"/>
      <c r="ASN12" s="165"/>
      <c r="ASO12" s="165"/>
      <c r="ASP12" s="165"/>
      <c r="ASQ12" s="165"/>
      <c r="ASR12" s="165"/>
      <c r="ASS12" s="165"/>
      <c r="AST12" s="165"/>
      <c r="ASU12" s="165"/>
      <c r="ASV12" s="165"/>
      <c r="ASW12" s="165"/>
      <c r="ASX12" s="165"/>
      <c r="ASY12" s="165"/>
      <c r="ASZ12" s="165"/>
      <c r="ATA12" s="165"/>
      <c r="ATB12" s="165"/>
      <c r="ATC12" s="165"/>
      <c r="ATD12" s="165"/>
      <c r="ATE12" s="165"/>
      <c r="ATF12" s="165"/>
      <c r="ATG12" s="165"/>
      <c r="ATH12" s="165"/>
      <c r="ATI12" s="165"/>
      <c r="ATJ12" s="165" t="s">
        <v>53</v>
      </c>
      <c r="ATK12" s="165"/>
      <c r="ATL12" s="165"/>
      <c r="ATM12" s="165"/>
      <c r="ATN12" s="165"/>
      <c r="ATO12" s="165"/>
      <c r="ATP12" s="165"/>
      <c r="ATQ12" s="165"/>
      <c r="ATR12" s="165"/>
      <c r="ATS12" s="165"/>
      <c r="ATT12" s="165"/>
      <c r="ATU12" s="165"/>
      <c r="ATV12" s="165"/>
      <c r="ATW12" s="165"/>
      <c r="ATX12" s="165"/>
      <c r="ATY12" s="165"/>
      <c r="ATZ12" s="165"/>
      <c r="AUA12" s="165"/>
      <c r="AUB12" s="165"/>
      <c r="AUC12" s="165"/>
      <c r="AUD12" s="165"/>
      <c r="AUE12" s="165"/>
      <c r="AUF12" s="165"/>
      <c r="AUG12" s="165"/>
      <c r="AUH12" s="165"/>
      <c r="AUI12" s="165"/>
      <c r="AUJ12" s="165"/>
      <c r="AUK12" s="165"/>
      <c r="AUL12" s="165"/>
      <c r="AUM12" s="165"/>
      <c r="AUN12" s="165"/>
      <c r="AUO12" s="165"/>
      <c r="AUP12" s="165"/>
      <c r="AUQ12" s="165"/>
      <c r="AUR12" s="165"/>
      <c r="AUS12" s="165"/>
      <c r="AUT12" s="165"/>
      <c r="AUU12" s="165"/>
      <c r="AUV12" s="165"/>
      <c r="AUW12" s="165"/>
      <c r="AUX12" s="165"/>
      <c r="AUY12" s="165"/>
      <c r="AUZ12" s="165"/>
      <c r="AVA12" s="165"/>
      <c r="AVB12" s="165"/>
      <c r="AVC12" s="165"/>
      <c r="AVD12" s="165"/>
      <c r="AVE12" s="165"/>
      <c r="AVF12" s="165"/>
      <c r="AVG12" s="165"/>
      <c r="AVH12" s="165"/>
      <c r="AVI12" s="165"/>
      <c r="AVJ12" s="165"/>
      <c r="AVK12" s="165"/>
      <c r="AVL12" s="165"/>
      <c r="AVM12" s="165"/>
      <c r="AVN12" s="165"/>
      <c r="AVO12" s="165"/>
      <c r="AVP12" s="165"/>
      <c r="AVQ12" s="165"/>
      <c r="AVR12" s="165" t="s">
        <v>53</v>
      </c>
      <c r="AVS12" s="165"/>
      <c r="AVT12" s="165"/>
      <c r="AVU12" s="165"/>
      <c r="AVV12" s="165"/>
      <c r="AVW12" s="165"/>
      <c r="AVX12" s="165"/>
      <c r="AVY12" s="165"/>
      <c r="AVZ12" s="165"/>
      <c r="AWA12" s="165"/>
      <c r="AWB12" s="165"/>
      <c r="AWC12" s="165"/>
      <c r="AWD12" s="165"/>
      <c r="AWE12" s="165"/>
      <c r="AWF12" s="165"/>
      <c r="AWG12" s="165"/>
      <c r="AWH12" s="165"/>
      <c r="AWI12" s="165"/>
      <c r="AWJ12" s="165"/>
      <c r="AWK12" s="165"/>
      <c r="AWL12" s="165"/>
      <c r="AWM12" s="165"/>
      <c r="AWN12" s="165"/>
      <c r="AWO12" s="165"/>
      <c r="AWP12" s="165"/>
      <c r="AWQ12" s="165"/>
      <c r="AWR12" s="165"/>
      <c r="AWS12" s="165"/>
      <c r="AWT12" s="165"/>
      <c r="AWU12" s="165"/>
      <c r="AWV12" s="165"/>
      <c r="AWW12" s="165"/>
      <c r="AWX12" s="165"/>
      <c r="AWY12" s="165"/>
      <c r="AWZ12" s="165"/>
      <c r="AXA12" s="165"/>
      <c r="AXB12" s="165"/>
      <c r="AXC12" s="165"/>
      <c r="AXD12" s="165"/>
      <c r="AXE12" s="165"/>
      <c r="AXF12" s="165"/>
      <c r="AXG12" s="165"/>
      <c r="AXH12" s="165"/>
      <c r="AXI12" s="165"/>
      <c r="AXJ12" s="165"/>
      <c r="AXK12" s="165"/>
      <c r="AXL12" s="165"/>
      <c r="AXM12" s="165"/>
      <c r="AXN12" s="165"/>
      <c r="AXO12" s="165"/>
      <c r="AXP12" s="165"/>
      <c r="AXQ12" s="165"/>
      <c r="AXR12" s="165"/>
      <c r="AXS12" s="165"/>
      <c r="AXT12" s="165"/>
      <c r="AXU12" s="165"/>
      <c r="AXV12" s="165"/>
      <c r="AXW12" s="165"/>
      <c r="AXX12" s="165"/>
      <c r="AXY12" s="165"/>
      <c r="AXZ12" s="165" t="s">
        <v>56</v>
      </c>
      <c r="AYA12" s="165"/>
      <c r="AYB12" s="165"/>
      <c r="AYC12" s="165"/>
      <c r="AYD12" s="165"/>
      <c r="AYE12" s="165"/>
      <c r="AYF12" s="165"/>
      <c r="AYG12" s="165"/>
      <c r="AYH12" s="165"/>
      <c r="AYI12" s="165"/>
      <c r="AYJ12" s="165"/>
      <c r="AYK12" s="165"/>
      <c r="AYL12" s="165"/>
      <c r="AYM12" s="165"/>
      <c r="AYN12" s="165"/>
      <c r="AYO12" s="165"/>
      <c r="AYP12" s="165"/>
      <c r="AYQ12" s="165"/>
      <c r="AYR12" s="165"/>
      <c r="AYS12" s="165"/>
      <c r="AYT12" s="165"/>
      <c r="AYU12" s="165"/>
      <c r="AYV12" s="165"/>
      <c r="AYW12" s="165"/>
      <c r="AYX12" s="165"/>
      <c r="AYY12" s="165"/>
      <c r="AYZ12" s="165"/>
      <c r="AZA12" s="165"/>
      <c r="AZB12" s="165"/>
      <c r="AZC12" s="165"/>
      <c r="AZD12" s="165"/>
      <c r="AZE12" s="165"/>
      <c r="AZF12" s="165"/>
      <c r="AZG12" s="165"/>
      <c r="AZH12" s="165"/>
      <c r="AZI12" s="165"/>
      <c r="AZJ12" s="165"/>
      <c r="AZK12" s="165"/>
      <c r="AZL12" s="165"/>
      <c r="AZM12" s="165"/>
      <c r="AZN12" s="165"/>
      <c r="AZO12" s="165"/>
      <c r="AZP12" s="165"/>
      <c r="AZQ12" s="165"/>
      <c r="AZR12" s="165"/>
      <c r="AZS12" s="165"/>
      <c r="AZT12" s="165"/>
      <c r="AZU12" s="165"/>
      <c r="AZV12" s="165"/>
      <c r="AZW12" s="165"/>
      <c r="AZX12" s="165"/>
      <c r="AZY12" s="165"/>
      <c r="AZZ12" s="165"/>
      <c r="BAA12" s="165"/>
      <c r="BAB12" s="165"/>
      <c r="BAC12" s="165"/>
      <c r="BAD12" s="165"/>
      <c r="BAE12" s="165"/>
      <c r="BAF12" s="165"/>
      <c r="BAG12" s="165"/>
      <c r="BAH12" s="165" t="s">
        <v>53</v>
      </c>
      <c r="BAI12" s="165"/>
      <c r="BAJ12" s="165"/>
      <c r="BAK12" s="165"/>
      <c r="BAL12" s="165"/>
      <c r="BAM12" s="165"/>
      <c r="BAN12" s="165"/>
      <c r="BAO12" s="165"/>
      <c r="BAP12" s="165"/>
      <c r="BAQ12" s="165"/>
      <c r="BAR12" s="165"/>
      <c r="BAS12" s="165"/>
      <c r="BAT12" s="165"/>
      <c r="BAU12" s="165"/>
      <c r="BAV12" s="165"/>
      <c r="BAW12" s="165"/>
      <c r="BAX12" s="165"/>
      <c r="BAY12" s="165"/>
      <c r="BAZ12" s="165"/>
      <c r="BBA12" s="165"/>
      <c r="BBB12" s="165"/>
      <c r="BBC12" s="165"/>
      <c r="BBD12" s="165"/>
      <c r="BBE12" s="165"/>
      <c r="BBF12" s="165"/>
      <c r="BBG12" s="165"/>
      <c r="BBH12" s="165"/>
      <c r="BBI12" s="165"/>
      <c r="BBJ12" s="165"/>
      <c r="BBK12" s="165"/>
      <c r="BBL12" s="165"/>
      <c r="BBM12" s="165"/>
      <c r="BBN12" s="165"/>
      <c r="BBO12" s="165"/>
      <c r="BBP12" s="165"/>
      <c r="BBQ12" s="165"/>
      <c r="BBR12" s="165"/>
      <c r="BBS12" s="165"/>
      <c r="BBT12" s="165"/>
      <c r="BBU12" s="165"/>
      <c r="BBV12" s="165"/>
      <c r="BBW12" s="165"/>
      <c r="BBX12" s="165"/>
      <c r="BBY12" s="165"/>
      <c r="BBZ12" s="165"/>
      <c r="BCA12" s="165"/>
      <c r="BCB12" s="165"/>
      <c r="BCC12" s="165"/>
      <c r="BCD12" s="165"/>
      <c r="BCE12" s="165"/>
      <c r="BCF12" s="165"/>
      <c r="BCG12" s="165"/>
      <c r="BCH12" s="165"/>
      <c r="BCI12" s="165"/>
      <c r="BCJ12" s="165"/>
      <c r="BCK12" s="165"/>
      <c r="BCL12" s="165"/>
      <c r="BCM12" s="165"/>
      <c r="BCN12" s="165"/>
      <c r="BCO12" s="165"/>
      <c r="BCP12" s="165" t="s">
        <v>77</v>
      </c>
      <c r="BCQ12" s="165"/>
      <c r="BCR12" s="165"/>
      <c r="BCS12" s="165"/>
      <c r="BCT12" s="165"/>
      <c r="BCU12" s="165"/>
      <c r="BCV12" s="165"/>
      <c r="BCW12" s="165"/>
      <c r="BCX12" s="165"/>
      <c r="BCY12" s="165"/>
      <c r="BCZ12" s="165"/>
      <c r="BDA12" s="165"/>
      <c r="BDB12" s="165"/>
      <c r="BDC12" s="165"/>
      <c r="BDD12" s="165"/>
      <c r="BDE12" s="165"/>
      <c r="BDF12" s="165"/>
      <c r="BDG12" s="165"/>
      <c r="BDH12" s="165"/>
      <c r="BDI12" s="165"/>
      <c r="BDJ12" s="165"/>
      <c r="BDK12" s="165"/>
      <c r="BDL12" s="165"/>
      <c r="BDM12" s="165"/>
      <c r="BDN12" s="165"/>
      <c r="BDO12" s="165"/>
      <c r="BDP12" s="165"/>
      <c r="BDQ12" s="165"/>
      <c r="BDR12" s="165"/>
      <c r="BDS12" s="165"/>
      <c r="BDT12" s="165"/>
      <c r="BDU12" s="165"/>
      <c r="BDV12" s="165"/>
      <c r="BDW12" s="165"/>
      <c r="BDX12" s="165"/>
      <c r="BDY12" s="165"/>
      <c r="BDZ12" s="165"/>
      <c r="BEA12" s="165"/>
      <c r="BEB12" s="165"/>
      <c r="BEC12" s="165"/>
      <c r="BED12" s="165"/>
      <c r="BEE12" s="165"/>
      <c r="BEF12" s="165"/>
      <c r="BEG12" s="165"/>
      <c r="BEH12" s="165"/>
      <c r="BEI12" s="165"/>
      <c r="BEJ12" s="165"/>
      <c r="BEK12" s="165"/>
      <c r="BEL12" s="165"/>
      <c r="BEM12" s="165"/>
      <c r="BEN12" s="165"/>
      <c r="BEO12" s="165"/>
      <c r="BEP12" s="165"/>
      <c r="BEQ12" s="165"/>
      <c r="BER12" s="165"/>
      <c r="BES12" s="165"/>
      <c r="BET12" s="165"/>
      <c r="BEU12" s="165"/>
      <c r="BEV12" s="165"/>
      <c r="BEW12" s="165"/>
      <c r="BEX12" s="75"/>
    </row>
    <row r="13" spans="1:1506" ht="42.75" customHeight="1" thickBot="1" x14ac:dyDescent="0.3">
      <c r="B13" s="53"/>
      <c r="C13" s="187" t="s">
        <v>7</v>
      </c>
      <c r="D13" s="127"/>
      <c r="E13" s="189" t="s">
        <v>39</v>
      </c>
      <c r="F13" s="166" t="s">
        <v>8</v>
      </c>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7"/>
      <c r="AG13" s="167"/>
      <c r="AH13" s="167"/>
      <c r="AI13" s="167"/>
      <c r="AJ13" s="167"/>
      <c r="AK13" s="167"/>
      <c r="AL13" s="167"/>
      <c r="AM13" s="167"/>
      <c r="AN13" s="167"/>
      <c r="AO13" s="167"/>
      <c r="AP13" s="167"/>
      <c r="AQ13" s="167"/>
      <c r="AR13" s="167"/>
      <c r="AS13" s="167"/>
      <c r="AT13" s="167"/>
      <c r="AU13" s="167"/>
      <c r="AV13" s="167"/>
      <c r="AW13" s="167"/>
      <c r="AX13" s="167"/>
      <c r="AY13" s="167"/>
      <c r="AZ13" s="167"/>
      <c r="BA13" s="167"/>
      <c r="BB13" s="167"/>
      <c r="BC13" s="167"/>
      <c r="BD13" s="167"/>
      <c r="BE13" s="167"/>
      <c r="BF13" s="167"/>
      <c r="BG13" s="167"/>
      <c r="BH13" s="167"/>
      <c r="BI13" s="167"/>
      <c r="BJ13" s="167"/>
      <c r="BK13" s="167"/>
      <c r="BL13" s="167"/>
      <c r="BM13" s="168"/>
      <c r="BN13" s="166" t="s">
        <v>27</v>
      </c>
      <c r="BO13" s="167"/>
      <c r="BP13" s="167"/>
      <c r="BQ13" s="167"/>
      <c r="BR13" s="167"/>
      <c r="BS13" s="167"/>
      <c r="BT13" s="167"/>
      <c r="BU13" s="167"/>
      <c r="BV13" s="167"/>
      <c r="BW13" s="167"/>
      <c r="BX13" s="167"/>
      <c r="BY13" s="167"/>
      <c r="BZ13" s="167"/>
      <c r="CA13" s="167"/>
      <c r="CB13" s="167"/>
      <c r="CC13" s="167"/>
      <c r="CD13" s="167"/>
      <c r="CE13" s="167"/>
      <c r="CF13" s="167"/>
      <c r="CG13" s="167"/>
      <c r="CH13" s="167"/>
      <c r="CI13" s="167"/>
      <c r="CJ13" s="167"/>
      <c r="CK13" s="167"/>
      <c r="CL13" s="167"/>
      <c r="CM13" s="167"/>
      <c r="CN13" s="167"/>
      <c r="CO13" s="167"/>
      <c r="CP13" s="167"/>
      <c r="CQ13" s="167"/>
      <c r="CR13" s="167"/>
      <c r="CS13" s="167"/>
      <c r="CT13" s="167"/>
      <c r="CU13" s="167"/>
      <c r="CV13" s="167"/>
      <c r="CW13" s="167"/>
      <c r="CX13" s="167"/>
      <c r="CY13" s="167"/>
      <c r="CZ13" s="167"/>
      <c r="DA13" s="167"/>
      <c r="DB13" s="167"/>
      <c r="DC13" s="167"/>
      <c r="DD13" s="167"/>
      <c r="DE13" s="167"/>
      <c r="DF13" s="167"/>
      <c r="DG13" s="167"/>
      <c r="DH13" s="167"/>
      <c r="DI13" s="167"/>
      <c r="DJ13" s="167"/>
      <c r="DK13" s="167"/>
      <c r="DL13" s="167"/>
      <c r="DM13" s="167"/>
      <c r="DN13" s="167"/>
      <c r="DO13" s="167"/>
      <c r="DP13" s="167"/>
      <c r="DQ13" s="167"/>
      <c r="DR13" s="167"/>
      <c r="DS13" s="167"/>
      <c r="DT13" s="167"/>
      <c r="DU13" s="168"/>
      <c r="DV13" s="166" t="s">
        <v>18</v>
      </c>
      <c r="DW13" s="167"/>
      <c r="DX13" s="167"/>
      <c r="DY13" s="167"/>
      <c r="DZ13" s="167"/>
      <c r="EA13" s="167"/>
      <c r="EB13" s="167"/>
      <c r="EC13" s="167"/>
      <c r="ED13" s="167"/>
      <c r="EE13" s="167"/>
      <c r="EF13" s="167"/>
      <c r="EG13" s="167"/>
      <c r="EH13" s="167"/>
      <c r="EI13" s="167"/>
      <c r="EJ13" s="167"/>
      <c r="EK13" s="167"/>
      <c r="EL13" s="167"/>
      <c r="EM13" s="167"/>
      <c r="EN13" s="167"/>
      <c r="EO13" s="167"/>
      <c r="EP13" s="167"/>
      <c r="EQ13" s="167"/>
      <c r="ER13" s="167"/>
      <c r="ES13" s="167"/>
      <c r="ET13" s="167"/>
      <c r="EU13" s="167"/>
      <c r="EV13" s="167"/>
      <c r="EW13" s="167"/>
      <c r="EX13" s="167"/>
      <c r="EY13" s="167"/>
      <c r="EZ13" s="167"/>
      <c r="FA13" s="167"/>
      <c r="FB13" s="167"/>
      <c r="FC13" s="167"/>
      <c r="FD13" s="167"/>
      <c r="FE13" s="167"/>
      <c r="FF13" s="167"/>
      <c r="FG13" s="167"/>
      <c r="FH13" s="167"/>
      <c r="FI13" s="167"/>
      <c r="FJ13" s="167"/>
      <c r="FK13" s="167"/>
      <c r="FL13" s="167"/>
      <c r="FM13" s="167"/>
      <c r="FN13" s="167"/>
      <c r="FO13" s="167"/>
      <c r="FP13" s="167"/>
      <c r="FQ13" s="167"/>
      <c r="FR13" s="167"/>
      <c r="FS13" s="167"/>
      <c r="FT13" s="167"/>
      <c r="FU13" s="167"/>
      <c r="FV13" s="167"/>
      <c r="FW13" s="167"/>
      <c r="FX13" s="167"/>
      <c r="FY13" s="167"/>
      <c r="FZ13" s="167"/>
      <c r="GA13" s="167"/>
      <c r="GB13" s="167"/>
      <c r="GC13" s="168"/>
      <c r="GD13" s="166" t="s">
        <v>114</v>
      </c>
      <c r="GE13" s="167"/>
      <c r="GF13" s="167"/>
      <c r="GG13" s="167"/>
      <c r="GH13" s="167"/>
      <c r="GI13" s="167"/>
      <c r="GJ13" s="167"/>
      <c r="GK13" s="167"/>
      <c r="GL13" s="167"/>
      <c r="GM13" s="167"/>
      <c r="GN13" s="167"/>
      <c r="GO13" s="167"/>
      <c r="GP13" s="167"/>
      <c r="GQ13" s="167"/>
      <c r="GR13" s="167"/>
      <c r="GS13" s="167"/>
      <c r="GT13" s="167"/>
      <c r="GU13" s="167"/>
      <c r="GV13" s="167"/>
      <c r="GW13" s="167"/>
      <c r="GX13" s="167"/>
      <c r="GY13" s="167"/>
      <c r="GZ13" s="167"/>
      <c r="HA13" s="167"/>
      <c r="HB13" s="167"/>
      <c r="HC13" s="167"/>
      <c r="HD13" s="167"/>
      <c r="HE13" s="167"/>
      <c r="HF13" s="167"/>
      <c r="HG13" s="167"/>
      <c r="HH13" s="167"/>
      <c r="HI13" s="167"/>
      <c r="HJ13" s="167"/>
      <c r="HK13" s="167"/>
      <c r="HL13" s="167"/>
      <c r="HM13" s="167"/>
      <c r="HN13" s="167"/>
      <c r="HO13" s="167"/>
      <c r="HP13" s="167"/>
      <c r="HQ13" s="167"/>
      <c r="HR13" s="167"/>
      <c r="HS13" s="167"/>
      <c r="HT13" s="167"/>
      <c r="HU13" s="167"/>
      <c r="HV13" s="167"/>
      <c r="HW13" s="167"/>
      <c r="HX13" s="167"/>
      <c r="HY13" s="167"/>
      <c r="HZ13" s="167"/>
      <c r="IA13" s="167"/>
      <c r="IB13" s="167"/>
      <c r="IC13" s="167"/>
      <c r="ID13" s="167"/>
      <c r="IE13" s="167"/>
      <c r="IF13" s="167"/>
      <c r="IG13" s="167"/>
      <c r="IH13" s="167"/>
      <c r="II13" s="167"/>
      <c r="IJ13" s="167"/>
      <c r="IK13" s="168"/>
      <c r="IL13" s="166" t="s">
        <v>113</v>
      </c>
      <c r="IM13" s="167"/>
      <c r="IN13" s="167"/>
      <c r="IO13" s="167"/>
      <c r="IP13" s="167"/>
      <c r="IQ13" s="167"/>
      <c r="IR13" s="167"/>
      <c r="IS13" s="167"/>
      <c r="IT13" s="167"/>
      <c r="IU13" s="167"/>
      <c r="IV13" s="167"/>
      <c r="IW13" s="167"/>
      <c r="IX13" s="167"/>
      <c r="IY13" s="167"/>
      <c r="IZ13" s="167"/>
      <c r="JA13" s="167"/>
      <c r="JB13" s="167"/>
      <c r="JC13" s="167"/>
      <c r="JD13" s="167"/>
      <c r="JE13" s="167"/>
      <c r="JF13" s="167"/>
      <c r="JG13" s="167"/>
      <c r="JH13" s="167"/>
      <c r="JI13" s="167"/>
      <c r="JJ13" s="167"/>
      <c r="JK13" s="167"/>
      <c r="JL13" s="167"/>
      <c r="JM13" s="167"/>
      <c r="JN13" s="167"/>
      <c r="JO13" s="167"/>
      <c r="JP13" s="167"/>
      <c r="JQ13" s="167"/>
      <c r="JR13" s="167"/>
      <c r="JS13" s="167"/>
      <c r="JT13" s="167"/>
      <c r="JU13" s="167"/>
      <c r="JV13" s="167"/>
      <c r="JW13" s="167"/>
      <c r="JX13" s="167"/>
      <c r="JY13" s="167"/>
      <c r="JZ13" s="167"/>
      <c r="KA13" s="167"/>
      <c r="KB13" s="167"/>
      <c r="KC13" s="167"/>
      <c r="KD13" s="167"/>
      <c r="KE13" s="167"/>
      <c r="KF13" s="167"/>
      <c r="KG13" s="167"/>
      <c r="KH13" s="167"/>
      <c r="KI13" s="167"/>
      <c r="KJ13" s="167"/>
      <c r="KK13" s="167"/>
      <c r="KL13" s="167"/>
      <c r="KM13" s="167"/>
      <c r="KN13" s="167"/>
      <c r="KO13" s="167"/>
      <c r="KP13" s="167"/>
      <c r="KQ13" s="167"/>
      <c r="KR13" s="167"/>
      <c r="KS13" s="168"/>
      <c r="KT13" s="166" t="s">
        <v>112</v>
      </c>
      <c r="KU13" s="167"/>
      <c r="KV13" s="167"/>
      <c r="KW13" s="167"/>
      <c r="KX13" s="167"/>
      <c r="KY13" s="167"/>
      <c r="KZ13" s="167"/>
      <c r="LA13" s="167"/>
      <c r="LB13" s="167"/>
      <c r="LC13" s="167"/>
      <c r="LD13" s="167"/>
      <c r="LE13" s="167"/>
      <c r="LF13" s="167"/>
      <c r="LG13" s="167"/>
      <c r="LH13" s="167"/>
      <c r="LI13" s="167"/>
      <c r="LJ13" s="167"/>
      <c r="LK13" s="167"/>
      <c r="LL13" s="167"/>
      <c r="LM13" s="167"/>
      <c r="LN13" s="167"/>
      <c r="LO13" s="167"/>
      <c r="LP13" s="167"/>
      <c r="LQ13" s="167"/>
      <c r="LR13" s="167"/>
      <c r="LS13" s="167"/>
      <c r="LT13" s="167"/>
      <c r="LU13" s="167"/>
      <c r="LV13" s="167"/>
      <c r="LW13" s="167"/>
      <c r="LX13" s="167"/>
      <c r="LY13" s="167"/>
      <c r="LZ13" s="167"/>
      <c r="MA13" s="167"/>
      <c r="MB13" s="167"/>
      <c r="MC13" s="167"/>
      <c r="MD13" s="167"/>
      <c r="ME13" s="167"/>
      <c r="MF13" s="167"/>
      <c r="MG13" s="167"/>
      <c r="MH13" s="167"/>
      <c r="MI13" s="167"/>
      <c r="MJ13" s="167"/>
      <c r="MK13" s="167"/>
      <c r="ML13" s="167"/>
      <c r="MM13" s="167"/>
      <c r="MN13" s="167"/>
      <c r="MO13" s="167"/>
      <c r="MP13" s="167"/>
      <c r="MQ13" s="167"/>
      <c r="MR13" s="167"/>
      <c r="MS13" s="167"/>
      <c r="MT13" s="167"/>
      <c r="MU13" s="167"/>
      <c r="MV13" s="167"/>
      <c r="MW13" s="167"/>
      <c r="MX13" s="167"/>
      <c r="MY13" s="167"/>
      <c r="MZ13" s="167"/>
      <c r="NA13" s="168"/>
      <c r="NB13" s="166" t="s">
        <v>111</v>
      </c>
      <c r="NC13" s="167"/>
      <c r="ND13" s="167"/>
      <c r="NE13" s="167"/>
      <c r="NF13" s="167"/>
      <c r="NG13" s="167"/>
      <c r="NH13" s="167"/>
      <c r="NI13" s="167"/>
      <c r="NJ13" s="167"/>
      <c r="NK13" s="167"/>
      <c r="NL13" s="167"/>
      <c r="NM13" s="167"/>
      <c r="NN13" s="167"/>
      <c r="NO13" s="167"/>
      <c r="NP13" s="167"/>
      <c r="NQ13" s="167"/>
      <c r="NR13" s="167"/>
      <c r="NS13" s="167"/>
      <c r="NT13" s="167"/>
      <c r="NU13" s="167"/>
      <c r="NV13" s="167"/>
      <c r="NW13" s="167"/>
      <c r="NX13" s="167"/>
      <c r="NY13" s="167"/>
      <c r="NZ13" s="167"/>
      <c r="OA13" s="167"/>
      <c r="OB13" s="167"/>
      <c r="OC13" s="167"/>
      <c r="OD13" s="167"/>
      <c r="OE13" s="167"/>
      <c r="OF13" s="167"/>
      <c r="OG13" s="167"/>
      <c r="OH13" s="167"/>
      <c r="OI13" s="167"/>
      <c r="OJ13" s="167"/>
      <c r="OK13" s="167"/>
      <c r="OL13" s="167"/>
      <c r="OM13" s="167"/>
      <c r="ON13" s="167"/>
      <c r="OO13" s="167"/>
      <c r="OP13" s="167"/>
      <c r="OQ13" s="167"/>
      <c r="OR13" s="167"/>
      <c r="OS13" s="167"/>
      <c r="OT13" s="167"/>
      <c r="OU13" s="167"/>
      <c r="OV13" s="167"/>
      <c r="OW13" s="167"/>
      <c r="OX13" s="167"/>
      <c r="OY13" s="167"/>
      <c r="OZ13" s="167"/>
      <c r="PA13" s="167"/>
      <c r="PB13" s="167"/>
      <c r="PC13" s="167"/>
      <c r="PD13" s="167"/>
      <c r="PE13" s="167"/>
      <c r="PF13" s="167"/>
      <c r="PG13" s="167"/>
      <c r="PH13" s="167"/>
      <c r="PI13" s="168"/>
      <c r="PJ13" s="166" t="s">
        <v>110</v>
      </c>
      <c r="PK13" s="167"/>
      <c r="PL13" s="167"/>
      <c r="PM13" s="167"/>
      <c r="PN13" s="167"/>
      <c r="PO13" s="167"/>
      <c r="PP13" s="167"/>
      <c r="PQ13" s="167"/>
      <c r="PR13" s="167"/>
      <c r="PS13" s="167"/>
      <c r="PT13" s="167"/>
      <c r="PU13" s="167"/>
      <c r="PV13" s="167"/>
      <c r="PW13" s="167"/>
      <c r="PX13" s="167"/>
      <c r="PY13" s="167"/>
      <c r="PZ13" s="167"/>
      <c r="QA13" s="167"/>
      <c r="QB13" s="167"/>
      <c r="QC13" s="167"/>
      <c r="QD13" s="167"/>
      <c r="QE13" s="167"/>
      <c r="QF13" s="167"/>
      <c r="QG13" s="167"/>
      <c r="QH13" s="167"/>
      <c r="QI13" s="167"/>
      <c r="QJ13" s="167"/>
      <c r="QK13" s="167"/>
      <c r="QL13" s="167"/>
      <c r="QM13" s="167"/>
      <c r="QN13" s="167"/>
      <c r="QO13" s="167"/>
      <c r="QP13" s="167"/>
      <c r="QQ13" s="167"/>
      <c r="QR13" s="167"/>
      <c r="QS13" s="167"/>
      <c r="QT13" s="167"/>
      <c r="QU13" s="167"/>
      <c r="QV13" s="167"/>
      <c r="QW13" s="167"/>
      <c r="QX13" s="167"/>
      <c r="QY13" s="167"/>
      <c r="QZ13" s="167"/>
      <c r="RA13" s="167"/>
      <c r="RB13" s="167"/>
      <c r="RC13" s="167"/>
      <c r="RD13" s="167"/>
      <c r="RE13" s="167"/>
      <c r="RF13" s="167"/>
      <c r="RG13" s="167"/>
      <c r="RH13" s="167"/>
      <c r="RI13" s="167"/>
      <c r="RJ13" s="167"/>
      <c r="RK13" s="167"/>
      <c r="RL13" s="167"/>
      <c r="RM13" s="167"/>
      <c r="RN13" s="167"/>
      <c r="RO13" s="167"/>
      <c r="RP13" s="167"/>
      <c r="RQ13" s="168"/>
      <c r="RR13" s="166" t="s">
        <v>109</v>
      </c>
      <c r="RS13" s="167"/>
      <c r="RT13" s="167"/>
      <c r="RU13" s="167"/>
      <c r="RV13" s="167"/>
      <c r="RW13" s="167"/>
      <c r="RX13" s="167"/>
      <c r="RY13" s="167"/>
      <c r="RZ13" s="167"/>
      <c r="SA13" s="167"/>
      <c r="SB13" s="167"/>
      <c r="SC13" s="167"/>
      <c r="SD13" s="167"/>
      <c r="SE13" s="167"/>
      <c r="SF13" s="167"/>
      <c r="SG13" s="167"/>
      <c r="SH13" s="167"/>
      <c r="SI13" s="167"/>
      <c r="SJ13" s="167"/>
      <c r="SK13" s="167"/>
      <c r="SL13" s="167"/>
      <c r="SM13" s="167"/>
      <c r="SN13" s="167"/>
      <c r="SO13" s="167"/>
      <c r="SP13" s="167"/>
      <c r="SQ13" s="167"/>
      <c r="SR13" s="167"/>
      <c r="SS13" s="167"/>
      <c r="ST13" s="167"/>
      <c r="SU13" s="167"/>
      <c r="SV13" s="167"/>
      <c r="SW13" s="167"/>
      <c r="SX13" s="167"/>
      <c r="SY13" s="167"/>
      <c r="SZ13" s="167"/>
      <c r="TA13" s="167"/>
      <c r="TB13" s="167"/>
      <c r="TC13" s="167"/>
      <c r="TD13" s="167"/>
      <c r="TE13" s="167"/>
      <c r="TF13" s="167"/>
      <c r="TG13" s="167"/>
      <c r="TH13" s="167"/>
      <c r="TI13" s="167"/>
      <c r="TJ13" s="167"/>
      <c r="TK13" s="167"/>
      <c r="TL13" s="167"/>
      <c r="TM13" s="167"/>
      <c r="TN13" s="167"/>
      <c r="TO13" s="167"/>
      <c r="TP13" s="167"/>
      <c r="TQ13" s="167"/>
      <c r="TR13" s="167"/>
      <c r="TS13" s="167"/>
      <c r="TT13" s="167"/>
      <c r="TU13" s="167"/>
      <c r="TV13" s="167"/>
      <c r="TW13" s="167"/>
      <c r="TX13" s="167"/>
      <c r="TY13" s="168"/>
      <c r="TZ13" s="166" t="s">
        <v>108</v>
      </c>
      <c r="UA13" s="167"/>
      <c r="UB13" s="167"/>
      <c r="UC13" s="167"/>
      <c r="UD13" s="167"/>
      <c r="UE13" s="167"/>
      <c r="UF13" s="167"/>
      <c r="UG13" s="167"/>
      <c r="UH13" s="167"/>
      <c r="UI13" s="167"/>
      <c r="UJ13" s="167"/>
      <c r="UK13" s="167"/>
      <c r="UL13" s="167"/>
      <c r="UM13" s="167"/>
      <c r="UN13" s="167"/>
      <c r="UO13" s="167"/>
      <c r="UP13" s="167"/>
      <c r="UQ13" s="167"/>
      <c r="UR13" s="167"/>
      <c r="US13" s="167"/>
      <c r="UT13" s="167"/>
      <c r="UU13" s="167"/>
      <c r="UV13" s="167"/>
      <c r="UW13" s="167"/>
      <c r="UX13" s="167"/>
      <c r="UY13" s="167"/>
      <c r="UZ13" s="167"/>
      <c r="VA13" s="167"/>
      <c r="VB13" s="167"/>
      <c r="VC13" s="167"/>
      <c r="VD13" s="167"/>
      <c r="VE13" s="167"/>
      <c r="VF13" s="167"/>
      <c r="VG13" s="167"/>
      <c r="VH13" s="167"/>
      <c r="VI13" s="167"/>
      <c r="VJ13" s="167"/>
      <c r="VK13" s="167"/>
      <c r="VL13" s="167"/>
      <c r="VM13" s="167"/>
      <c r="VN13" s="167"/>
      <c r="VO13" s="167"/>
      <c r="VP13" s="167"/>
      <c r="VQ13" s="167"/>
      <c r="VR13" s="167"/>
      <c r="VS13" s="167"/>
      <c r="VT13" s="167"/>
      <c r="VU13" s="167"/>
      <c r="VV13" s="167"/>
      <c r="VW13" s="167"/>
      <c r="VX13" s="167"/>
      <c r="VY13" s="167"/>
      <c r="VZ13" s="167"/>
      <c r="WA13" s="167"/>
      <c r="WB13" s="167"/>
      <c r="WC13" s="167"/>
      <c r="WD13" s="167"/>
      <c r="WE13" s="167"/>
      <c r="WF13" s="167"/>
      <c r="WG13" s="168"/>
      <c r="WH13" s="166" t="s">
        <v>107</v>
      </c>
      <c r="WI13" s="167"/>
      <c r="WJ13" s="167"/>
      <c r="WK13" s="167"/>
      <c r="WL13" s="167"/>
      <c r="WM13" s="167"/>
      <c r="WN13" s="167"/>
      <c r="WO13" s="167"/>
      <c r="WP13" s="167"/>
      <c r="WQ13" s="167"/>
      <c r="WR13" s="167"/>
      <c r="WS13" s="167"/>
      <c r="WT13" s="167"/>
      <c r="WU13" s="167"/>
      <c r="WV13" s="167"/>
      <c r="WW13" s="167"/>
      <c r="WX13" s="167"/>
      <c r="WY13" s="167"/>
      <c r="WZ13" s="167"/>
      <c r="XA13" s="167"/>
      <c r="XB13" s="167"/>
      <c r="XC13" s="167"/>
      <c r="XD13" s="167"/>
      <c r="XE13" s="167"/>
      <c r="XF13" s="167"/>
      <c r="XG13" s="167"/>
      <c r="XH13" s="167"/>
      <c r="XI13" s="167"/>
      <c r="XJ13" s="167"/>
      <c r="XK13" s="167"/>
      <c r="XL13" s="167"/>
      <c r="XM13" s="167"/>
      <c r="XN13" s="167"/>
      <c r="XO13" s="167"/>
      <c r="XP13" s="167"/>
      <c r="XQ13" s="167"/>
      <c r="XR13" s="167"/>
      <c r="XS13" s="167"/>
      <c r="XT13" s="167"/>
      <c r="XU13" s="167"/>
      <c r="XV13" s="167"/>
      <c r="XW13" s="167"/>
      <c r="XX13" s="167"/>
      <c r="XY13" s="167"/>
      <c r="XZ13" s="167"/>
      <c r="YA13" s="167"/>
      <c r="YB13" s="167"/>
      <c r="YC13" s="167"/>
      <c r="YD13" s="167"/>
      <c r="YE13" s="167"/>
      <c r="YF13" s="167"/>
      <c r="YG13" s="167"/>
      <c r="YH13" s="167"/>
      <c r="YI13" s="167"/>
      <c r="YJ13" s="167"/>
      <c r="YK13" s="167"/>
      <c r="YL13" s="167"/>
      <c r="YM13" s="167"/>
      <c r="YN13" s="167"/>
      <c r="YO13" s="168"/>
      <c r="YP13" s="166" t="s">
        <v>106</v>
      </c>
      <c r="YQ13" s="167"/>
      <c r="YR13" s="167"/>
      <c r="YS13" s="167"/>
      <c r="YT13" s="167"/>
      <c r="YU13" s="167"/>
      <c r="YV13" s="167"/>
      <c r="YW13" s="167"/>
      <c r="YX13" s="167"/>
      <c r="YY13" s="167"/>
      <c r="YZ13" s="167"/>
      <c r="ZA13" s="167"/>
      <c r="ZB13" s="167"/>
      <c r="ZC13" s="167"/>
      <c r="ZD13" s="167"/>
      <c r="ZE13" s="167"/>
      <c r="ZF13" s="167"/>
      <c r="ZG13" s="167"/>
      <c r="ZH13" s="167"/>
      <c r="ZI13" s="167"/>
      <c r="ZJ13" s="167"/>
      <c r="ZK13" s="167"/>
      <c r="ZL13" s="167"/>
      <c r="ZM13" s="167"/>
      <c r="ZN13" s="167"/>
      <c r="ZO13" s="167"/>
      <c r="ZP13" s="167"/>
      <c r="ZQ13" s="167"/>
      <c r="ZR13" s="167"/>
      <c r="ZS13" s="167"/>
      <c r="ZT13" s="167"/>
      <c r="ZU13" s="167"/>
      <c r="ZV13" s="167"/>
      <c r="ZW13" s="167"/>
      <c r="ZX13" s="167"/>
      <c r="ZY13" s="167"/>
      <c r="ZZ13" s="167"/>
      <c r="AAA13" s="167"/>
      <c r="AAB13" s="167"/>
      <c r="AAC13" s="167"/>
      <c r="AAD13" s="167"/>
      <c r="AAE13" s="167"/>
      <c r="AAF13" s="167"/>
      <c r="AAG13" s="167"/>
      <c r="AAH13" s="167"/>
      <c r="AAI13" s="167"/>
      <c r="AAJ13" s="167"/>
      <c r="AAK13" s="167"/>
      <c r="AAL13" s="167"/>
      <c r="AAM13" s="167"/>
      <c r="AAN13" s="167"/>
      <c r="AAO13" s="167"/>
      <c r="AAP13" s="167"/>
      <c r="AAQ13" s="167"/>
      <c r="AAR13" s="167"/>
      <c r="AAS13" s="167"/>
      <c r="AAT13" s="167"/>
      <c r="AAU13" s="167"/>
      <c r="AAV13" s="167"/>
      <c r="AAW13" s="168"/>
      <c r="AAX13" s="166" t="s">
        <v>105</v>
      </c>
      <c r="AAY13" s="167"/>
      <c r="AAZ13" s="167"/>
      <c r="ABA13" s="167"/>
      <c r="ABB13" s="167"/>
      <c r="ABC13" s="167"/>
      <c r="ABD13" s="167"/>
      <c r="ABE13" s="167"/>
      <c r="ABF13" s="167"/>
      <c r="ABG13" s="167"/>
      <c r="ABH13" s="167"/>
      <c r="ABI13" s="167"/>
      <c r="ABJ13" s="167"/>
      <c r="ABK13" s="167"/>
      <c r="ABL13" s="167"/>
      <c r="ABM13" s="167"/>
      <c r="ABN13" s="167"/>
      <c r="ABO13" s="167"/>
      <c r="ABP13" s="167"/>
      <c r="ABQ13" s="167"/>
      <c r="ABR13" s="167"/>
      <c r="ABS13" s="167"/>
      <c r="ABT13" s="167"/>
      <c r="ABU13" s="167"/>
      <c r="ABV13" s="167"/>
      <c r="ABW13" s="167"/>
      <c r="ABX13" s="167"/>
      <c r="ABY13" s="167"/>
      <c r="ABZ13" s="167"/>
      <c r="ACA13" s="167"/>
      <c r="ACB13" s="167"/>
      <c r="ACC13" s="167"/>
      <c r="ACD13" s="167"/>
      <c r="ACE13" s="167"/>
      <c r="ACF13" s="167"/>
      <c r="ACG13" s="167"/>
      <c r="ACH13" s="167"/>
      <c r="ACI13" s="167"/>
      <c r="ACJ13" s="167"/>
      <c r="ACK13" s="167"/>
      <c r="ACL13" s="167"/>
      <c r="ACM13" s="167"/>
      <c r="ACN13" s="167"/>
      <c r="ACO13" s="167"/>
      <c r="ACP13" s="167"/>
      <c r="ACQ13" s="167"/>
      <c r="ACR13" s="167"/>
      <c r="ACS13" s="167"/>
      <c r="ACT13" s="167"/>
      <c r="ACU13" s="167"/>
      <c r="ACV13" s="167"/>
      <c r="ACW13" s="167"/>
      <c r="ACX13" s="167"/>
      <c r="ACY13" s="167"/>
      <c r="ACZ13" s="167"/>
      <c r="ADA13" s="167"/>
      <c r="ADB13" s="167"/>
      <c r="ADC13" s="167"/>
      <c r="ADD13" s="167"/>
      <c r="ADE13" s="168"/>
      <c r="ADF13" s="166" t="s">
        <v>104</v>
      </c>
      <c r="ADG13" s="167"/>
      <c r="ADH13" s="167"/>
      <c r="ADI13" s="167"/>
      <c r="ADJ13" s="167"/>
      <c r="ADK13" s="167"/>
      <c r="ADL13" s="167"/>
      <c r="ADM13" s="167"/>
      <c r="ADN13" s="167"/>
      <c r="ADO13" s="167"/>
      <c r="ADP13" s="167"/>
      <c r="ADQ13" s="167"/>
      <c r="ADR13" s="167"/>
      <c r="ADS13" s="167"/>
      <c r="ADT13" s="167"/>
      <c r="ADU13" s="167"/>
      <c r="ADV13" s="167"/>
      <c r="ADW13" s="167"/>
      <c r="ADX13" s="167"/>
      <c r="ADY13" s="167"/>
      <c r="ADZ13" s="167"/>
      <c r="AEA13" s="167"/>
      <c r="AEB13" s="167"/>
      <c r="AEC13" s="167"/>
      <c r="AED13" s="167"/>
      <c r="AEE13" s="167"/>
      <c r="AEF13" s="167"/>
      <c r="AEG13" s="167"/>
      <c r="AEH13" s="167"/>
      <c r="AEI13" s="167"/>
      <c r="AEJ13" s="167"/>
      <c r="AEK13" s="167"/>
      <c r="AEL13" s="167"/>
      <c r="AEM13" s="167"/>
      <c r="AEN13" s="167"/>
      <c r="AEO13" s="167"/>
      <c r="AEP13" s="167"/>
      <c r="AEQ13" s="167"/>
      <c r="AER13" s="167"/>
      <c r="AES13" s="167"/>
      <c r="AET13" s="167"/>
      <c r="AEU13" s="167"/>
      <c r="AEV13" s="167"/>
      <c r="AEW13" s="167"/>
      <c r="AEX13" s="167"/>
      <c r="AEY13" s="167"/>
      <c r="AEZ13" s="167"/>
      <c r="AFA13" s="167"/>
      <c r="AFB13" s="167"/>
      <c r="AFC13" s="167"/>
      <c r="AFD13" s="167"/>
      <c r="AFE13" s="167"/>
      <c r="AFF13" s="167"/>
      <c r="AFG13" s="167"/>
      <c r="AFH13" s="167"/>
      <c r="AFI13" s="167"/>
      <c r="AFJ13" s="167"/>
      <c r="AFK13" s="167"/>
      <c r="AFL13" s="167"/>
      <c r="AFM13" s="168"/>
      <c r="AFN13" s="166" t="s">
        <v>103</v>
      </c>
      <c r="AFO13" s="167"/>
      <c r="AFP13" s="167"/>
      <c r="AFQ13" s="167"/>
      <c r="AFR13" s="167"/>
      <c r="AFS13" s="167"/>
      <c r="AFT13" s="167"/>
      <c r="AFU13" s="167"/>
      <c r="AFV13" s="167"/>
      <c r="AFW13" s="167"/>
      <c r="AFX13" s="167"/>
      <c r="AFY13" s="167"/>
      <c r="AFZ13" s="167"/>
      <c r="AGA13" s="167"/>
      <c r="AGB13" s="167"/>
      <c r="AGC13" s="167"/>
      <c r="AGD13" s="167"/>
      <c r="AGE13" s="167"/>
      <c r="AGF13" s="167"/>
      <c r="AGG13" s="167"/>
      <c r="AGH13" s="167"/>
      <c r="AGI13" s="167"/>
      <c r="AGJ13" s="167"/>
      <c r="AGK13" s="167"/>
      <c r="AGL13" s="167"/>
      <c r="AGM13" s="167"/>
      <c r="AGN13" s="167"/>
      <c r="AGO13" s="167"/>
      <c r="AGP13" s="167"/>
      <c r="AGQ13" s="167"/>
      <c r="AGR13" s="167"/>
      <c r="AGS13" s="167"/>
      <c r="AGT13" s="167"/>
      <c r="AGU13" s="167"/>
      <c r="AGV13" s="167"/>
      <c r="AGW13" s="167"/>
      <c r="AGX13" s="167"/>
      <c r="AGY13" s="167"/>
      <c r="AGZ13" s="167"/>
      <c r="AHA13" s="167"/>
      <c r="AHB13" s="167"/>
      <c r="AHC13" s="167"/>
      <c r="AHD13" s="167"/>
      <c r="AHE13" s="167"/>
      <c r="AHF13" s="167"/>
      <c r="AHG13" s="167"/>
      <c r="AHH13" s="167"/>
      <c r="AHI13" s="167"/>
      <c r="AHJ13" s="167"/>
      <c r="AHK13" s="167"/>
      <c r="AHL13" s="167"/>
      <c r="AHM13" s="167"/>
      <c r="AHN13" s="167"/>
      <c r="AHO13" s="167"/>
      <c r="AHP13" s="167"/>
      <c r="AHQ13" s="167"/>
      <c r="AHR13" s="167"/>
      <c r="AHS13" s="167"/>
      <c r="AHT13" s="167"/>
      <c r="AHU13" s="168"/>
      <c r="AHV13" s="166" t="s">
        <v>102</v>
      </c>
      <c r="AHW13" s="167"/>
      <c r="AHX13" s="167"/>
      <c r="AHY13" s="167"/>
      <c r="AHZ13" s="167"/>
      <c r="AIA13" s="167"/>
      <c r="AIB13" s="167"/>
      <c r="AIC13" s="167"/>
      <c r="AID13" s="167"/>
      <c r="AIE13" s="167"/>
      <c r="AIF13" s="167"/>
      <c r="AIG13" s="167"/>
      <c r="AIH13" s="167"/>
      <c r="AII13" s="167"/>
      <c r="AIJ13" s="167"/>
      <c r="AIK13" s="167"/>
      <c r="AIL13" s="167"/>
      <c r="AIM13" s="167"/>
      <c r="AIN13" s="167"/>
      <c r="AIO13" s="167"/>
      <c r="AIP13" s="167"/>
      <c r="AIQ13" s="167"/>
      <c r="AIR13" s="167"/>
      <c r="AIS13" s="167"/>
      <c r="AIT13" s="167"/>
      <c r="AIU13" s="167"/>
      <c r="AIV13" s="167"/>
      <c r="AIW13" s="167"/>
      <c r="AIX13" s="167"/>
      <c r="AIY13" s="167"/>
      <c r="AIZ13" s="167"/>
      <c r="AJA13" s="167"/>
      <c r="AJB13" s="167"/>
      <c r="AJC13" s="167"/>
      <c r="AJD13" s="167"/>
      <c r="AJE13" s="167"/>
      <c r="AJF13" s="167"/>
      <c r="AJG13" s="167"/>
      <c r="AJH13" s="167"/>
      <c r="AJI13" s="167"/>
      <c r="AJJ13" s="167"/>
      <c r="AJK13" s="167"/>
      <c r="AJL13" s="167"/>
      <c r="AJM13" s="167"/>
      <c r="AJN13" s="167"/>
      <c r="AJO13" s="167"/>
      <c r="AJP13" s="167"/>
      <c r="AJQ13" s="167"/>
      <c r="AJR13" s="167"/>
      <c r="AJS13" s="167"/>
      <c r="AJT13" s="167"/>
      <c r="AJU13" s="167"/>
      <c r="AJV13" s="167"/>
      <c r="AJW13" s="167"/>
      <c r="AJX13" s="167"/>
      <c r="AJY13" s="167"/>
      <c r="AJZ13" s="167"/>
      <c r="AKA13" s="167"/>
      <c r="AKB13" s="167"/>
      <c r="AKC13" s="168"/>
      <c r="AKD13" s="166" t="s">
        <v>101</v>
      </c>
      <c r="AKE13" s="167"/>
      <c r="AKF13" s="167"/>
      <c r="AKG13" s="167"/>
      <c r="AKH13" s="167"/>
      <c r="AKI13" s="167"/>
      <c r="AKJ13" s="167"/>
      <c r="AKK13" s="167"/>
      <c r="AKL13" s="167"/>
      <c r="AKM13" s="167"/>
      <c r="AKN13" s="167"/>
      <c r="AKO13" s="167"/>
      <c r="AKP13" s="167"/>
      <c r="AKQ13" s="167"/>
      <c r="AKR13" s="167"/>
      <c r="AKS13" s="167"/>
      <c r="AKT13" s="167"/>
      <c r="AKU13" s="167"/>
      <c r="AKV13" s="167"/>
      <c r="AKW13" s="167"/>
      <c r="AKX13" s="167"/>
      <c r="AKY13" s="167"/>
      <c r="AKZ13" s="167"/>
      <c r="ALA13" s="167"/>
      <c r="ALB13" s="167"/>
      <c r="ALC13" s="167"/>
      <c r="ALD13" s="167"/>
      <c r="ALE13" s="167"/>
      <c r="ALF13" s="167"/>
      <c r="ALG13" s="167"/>
      <c r="ALH13" s="167"/>
      <c r="ALI13" s="167"/>
      <c r="ALJ13" s="167"/>
      <c r="ALK13" s="167"/>
      <c r="ALL13" s="167"/>
      <c r="ALM13" s="167"/>
      <c r="ALN13" s="167"/>
      <c r="ALO13" s="167"/>
      <c r="ALP13" s="167"/>
      <c r="ALQ13" s="167"/>
      <c r="ALR13" s="167"/>
      <c r="ALS13" s="167"/>
      <c r="ALT13" s="167"/>
      <c r="ALU13" s="167"/>
      <c r="ALV13" s="167"/>
      <c r="ALW13" s="167"/>
      <c r="ALX13" s="167"/>
      <c r="ALY13" s="167"/>
      <c r="ALZ13" s="167"/>
      <c r="AMA13" s="167"/>
      <c r="AMB13" s="167"/>
      <c r="AMC13" s="167"/>
      <c r="AMD13" s="167"/>
      <c r="AME13" s="167"/>
      <c r="AMF13" s="167"/>
      <c r="AMG13" s="167"/>
      <c r="AMH13" s="167"/>
      <c r="AMI13" s="167"/>
      <c r="AMJ13" s="167"/>
      <c r="AMK13" s="168"/>
      <c r="AML13" s="166" t="s">
        <v>100</v>
      </c>
      <c r="AMM13" s="167"/>
      <c r="AMN13" s="167"/>
      <c r="AMO13" s="167"/>
      <c r="AMP13" s="167"/>
      <c r="AMQ13" s="167"/>
      <c r="AMR13" s="167"/>
      <c r="AMS13" s="167"/>
      <c r="AMT13" s="167"/>
      <c r="AMU13" s="167"/>
      <c r="AMV13" s="167"/>
      <c r="AMW13" s="167"/>
      <c r="AMX13" s="167"/>
      <c r="AMY13" s="167"/>
      <c r="AMZ13" s="167"/>
      <c r="ANA13" s="167"/>
      <c r="ANB13" s="167"/>
      <c r="ANC13" s="167"/>
      <c r="AND13" s="167"/>
      <c r="ANE13" s="167"/>
      <c r="ANF13" s="167"/>
      <c r="ANG13" s="167"/>
      <c r="ANH13" s="167"/>
      <c r="ANI13" s="167"/>
      <c r="ANJ13" s="167"/>
      <c r="ANK13" s="167"/>
      <c r="ANL13" s="167"/>
      <c r="ANM13" s="167"/>
      <c r="ANN13" s="167"/>
      <c r="ANO13" s="167"/>
      <c r="ANP13" s="167"/>
      <c r="ANQ13" s="167"/>
      <c r="ANR13" s="167"/>
      <c r="ANS13" s="167"/>
      <c r="ANT13" s="167"/>
      <c r="ANU13" s="167"/>
      <c r="ANV13" s="167"/>
      <c r="ANW13" s="167"/>
      <c r="ANX13" s="167"/>
      <c r="ANY13" s="167"/>
      <c r="ANZ13" s="167"/>
      <c r="AOA13" s="167"/>
      <c r="AOB13" s="167"/>
      <c r="AOC13" s="167"/>
      <c r="AOD13" s="167"/>
      <c r="AOE13" s="167"/>
      <c r="AOF13" s="167"/>
      <c r="AOG13" s="167"/>
      <c r="AOH13" s="167"/>
      <c r="AOI13" s="167"/>
      <c r="AOJ13" s="167"/>
      <c r="AOK13" s="167"/>
      <c r="AOL13" s="167"/>
      <c r="AOM13" s="167"/>
      <c r="AON13" s="167"/>
      <c r="AOO13" s="167"/>
      <c r="AOP13" s="167"/>
      <c r="AOQ13" s="167"/>
      <c r="AOR13" s="167"/>
      <c r="AOS13" s="168"/>
      <c r="AOT13" s="166" t="s">
        <v>99</v>
      </c>
      <c r="AOU13" s="167"/>
      <c r="AOV13" s="167"/>
      <c r="AOW13" s="167"/>
      <c r="AOX13" s="167"/>
      <c r="AOY13" s="167"/>
      <c r="AOZ13" s="167"/>
      <c r="APA13" s="167"/>
      <c r="APB13" s="167"/>
      <c r="APC13" s="167"/>
      <c r="APD13" s="167"/>
      <c r="APE13" s="167"/>
      <c r="APF13" s="167"/>
      <c r="APG13" s="167"/>
      <c r="APH13" s="167"/>
      <c r="API13" s="167"/>
      <c r="APJ13" s="167"/>
      <c r="APK13" s="167"/>
      <c r="APL13" s="167"/>
      <c r="APM13" s="167"/>
      <c r="APN13" s="167"/>
      <c r="APO13" s="167"/>
      <c r="APP13" s="167"/>
      <c r="APQ13" s="167"/>
      <c r="APR13" s="167"/>
      <c r="APS13" s="167"/>
      <c r="APT13" s="167"/>
      <c r="APU13" s="167"/>
      <c r="APV13" s="167"/>
      <c r="APW13" s="167"/>
      <c r="APX13" s="167"/>
      <c r="APY13" s="167"/>
      <c r="APZ13" s="167"/>
      <c r="AQA13" s="167"/>
      <c r="AQB13" s="167"/>
      <c r="AQC13" s="167"/>
      <c r="AQD13" s="167"/>
      <c r="AQE13" s="167"/>
      <c r="AQF13" s="167"/>
      <c r="AQG13" s="167"/>
      <c r="AQH13" s="167"/>
      <c r="AQI13" s="167"/>
      <c r="AQJ13" s="167"/>
      <c r="AQK13" s="167"/>
      <c r="AQL13" s="167"/>
      <c r="AQM13" s="167"/>
      <c r="AQN13" s="167"/>
      <c r="AQO13" s="167"/>
      <c r="AQP13" s="167"/>
      <c r="AQQ13" s="167"/>
      <c r="AQR13" s="167"/>
      <c r="AQS13" s="167"/>
      <c r="AQT13" s="167"/>
      <c r="AQU13" s="167"/>
      <c r="AQV13" s="167"/>
      <c r="AQW13" s="167"/>
      <c r="AQX13" s="167"/>
      <c r="AQY13" s="167"/>
      <c r="AQZ13" s="167"/>
      <c r="ARA13" s="168"/>
      <c r="ARB13" s="166" t="s">
        <v>98</v>
      </c>
      <c r="ARC13" s="167"/>
      <c r="ARD13" s="167"/>
      <c r="ARE13" s="167"/>
      <c r="ARF13" s="167"/>
      <c r="ARG13" s="167"/>
      <c r="ARH13" s="167"/>
      <c r="ARI13" s="167"/>
      <c r="ARJ13" s="167"/>
      <c r="ARK13" s="167"/>
      <c r="ARL13" s="167"/>
      <c r="ARM13" s="167"/>
      <c r="ARN13" s="167"/>
      <c r="ARO13" s="167"/>
      <c r="ARP13" s="167"/>
      <c r="ARQ13" s="167"/>
      <c r="ARR13" s="167"/>
      <c r="ARS13" s="167"/>
      <c r="ART13" s="167"/>
      <c r="ARU13" s="167"/>
      <c r="ARV13" s="167"/>
      <c r="ARW13" s="167"/>
      <c r="ARX13" s="167"/>
      <c r="ARY13" s="167"/>
      <c r="ARZ13" s="167"/>
      <c r="ASA13" s="167"/>
      <c r="ASB13" s="167"/>
      <c r="ASC13" s="167"/>
      <c r="ASD13" s="167"/>
      <c r="ASE13" s="167"/>
      <c r="ASF13" s="167"/>
      <c r="ASG13" s="167"/>
      <c r="ASH13" s="167"/>
      <c r="ASI13" s="167"/>
      <c r="ASJ13" s="167"/>
      <c r="ASK13" s="167"/>
      <c r="ASL13" s="167"/>
      <c r="ASM13" s="167"/>
      <c r="ASN13" s="167"/>
      <c r="ASO13" s="167"/>
      <c r="ASP13" s="167"/>
      <c r="ASQ13" s="167"/>
      <c r="ASR13" s="167"/>
      <c r="ASS13" s="167"/>
      <c r="AST13" s="167"/>
      <c r="ASU13" s="167"/>
      <c r="ASV13" s="167"/>
      <c r="ASW13" s="167"/>
      <c r="ASX13" s="167"/>
      <c r="ASY13" s="167"/>
      <c r="ASZ13" s="167"/>
      <c r="ATA13" s="167"/>
      <c r="ATB13" s="167"/>
      <c r="ATC13" s="167"/>
      <c r="ATD13" s="167"/>
      <c r="ATE13" s="167"/>
      <c r="ATF13" s="167"/>
      <c r="ATG13" s="167"/>
      <c r="ATH13" s="167"/>
      <c r="ATI13" s="168"/>
      <c r="ATJ13" s="166" t="s">
        <v>97</v>
      </c>
      <c r="ATK13" s="167"/>
      <c r="ATL13" s="167"/>
      <c r="ATM13" s="167"/>
      <c r="ATN13" s="167"/>
      <c r="ATO13" s="167"/>
      <c r="ATP13" s="167"/>
      <c r="ATQ13" s="167"/>
      <c r="ATR13" s="167"/>
      <c r="ATS13" s="167"/>
      <c r="ATT13" s="167"/>
      <c r="ATU13" s="167"/>
      <c r="ATV13" s="167"/>
      <c r="ATW13" s="167"/>
      <c r="ATX13" s="167"/>
      <c r="ATY13" s="167"/>
      <c r="ATZ13" s="167"/>
      <c r="AUA13" s="167"/>
      <c r="AUB13" s="167"/>
      <c r="AUC13" s="167"/>
      <c r="AUD13" s="167"/>
      <c r="AUE13" s="167"/>
      <c r="AUF13" s="167"/>
      <c r="AUG13" s="167"/>
      <c r="AUH13" s="167"/>
      <c r="AUI13" s="167"/>
      <c r="AUJ13" s="167"/>
      <c r="AUK13" s="167"/>
      <c r="AUL13" s="167"/>
      <c r="AUM13" s="167"/>
      <c r="AUN13" s="167"/>
      <c r="AUO13" s="167"/>
      <c r="AUP13" s="167"/>
      <c r="AUQ13" s="167"/>
      <c r="AUR13" s="167"/>
      <c r="AUS13" s="167"/>
      <c r="AUT13" s="167"/>
      <c r="AUU13" s="167"/>
      <c r="AUV13" s="167"/>
      <c r="AUW13" s="167"/>
      <c r="AUX13" s="167"/>
      <c r="AUY13" s="167"/>
      <c r="AUZ13" s="167"/>
      <c r="AVA13" s="167"/>
      <c r="AVB13" s="167"/>
      <c r="AVC13" s="167"/>
      <c r="AVD13" s="167"/>
      <c r="AVE13" s="167"/>
      <c r="AVF13" s="167"/>
      <c r="AVG13" s="167"/>
      <c r="AVH13" s="167"/>
      <c r="AVI13" s="167"/>
      <c r="AVJ13" s="167"/>
      <c r="AVK13" s="167"/>
      <c r="AVL13" s="167"/>
      <c r="AVM13" s="167"/>
      <c r="AVN13" s="167"/>
      <c r="AVO13" s="167"/>
      <c r="AVP13" s="167"/>
      <c r="AVQ13" s="168"/>
      <c r="AVR13" s="166" t="s">
        <v>96</v>
      </c>
      <c r="AVS13" s="167"/>
      <c r="AVT13" s="167"/>
      <c r="AVU13" s="167"/>
      <c r="AVV13" s="167"/>
      <c r="AVW13" s="167"/>
      <c r="AVX13" s="167"/>
      <c r="AVY13" s="167"/>
      <c r="AVZ13" s="167"/>
      <c r="AWA13" s="167"/>
      <c r="AWB13" s="167"/>
      <c r="AWC13" s="167"/>
      <c r="AWD13" s="167"/>
      <c r="AWE13" s="167"/>
      <c r="AWF13" s="167"/>
      <c r="AWG13" s="167"/>
      <c r="AWH13" s="167"/>
      <c r="AWI13" s="167"/>
      <c r="AWJ13" s="167"/>
      <c r="AWK13" s="167"/>
      <c r="AWL13" s="167"/>
      <c r="AWM13" s="167"/>
      <c r="AWN13" s="167"/>
      <c r="AWO13" s="167"/>
      <c r="AWP13" s="167"/>
      <c r="AWQ13" s="167"/>
      <c r="AWR13" s="167"/>
      <c r="AWS13" s="167"/>
      <c r="AWT13" s="167"/>
      <c r="AWU13" s="167"/>
      <c r="AWV13" s="167"/>
      <c r="AWW13" s="167"/>
      <c r="AWX13" s="167"/>
      <c r="AWY13" s="167"/>
      <c r="AWZ13" s="167"/>
      <c r="AXA13" s="167"/>
      <c r="AXB13" s="167"/>
      <c r="AXC13" s="167"/>
      <c r="AXD13" s="167"/>
      <c r="AXE13" s="167"/>
      <c r="AXF13" s="167"/>
      <c r="AXG13" s="167"/>
      <c r="AXH13" s="167"/>
      <c r="AXI13" s="167"/>
      <c r="AXJ13" s="167"/>
      <c r="AXK13" s="167"/>
      <c r="AXL13" s="167"/>
      <c r="AXM13" s="167"/>
      <c r="AXN13" s="167"/>
      <c r="AXO13" s="167"/>
      <c r="AXP13" s="167"/>
      <c r="AXQ13" s="167"/>
      <c r="AXR13" s="167"/>
      <c r="AXS13" s="167"/>
      <c r="AXT13" s="167"/>
      <c r="AXU13" s="167"/>
      <c r="AXV13" s="167"/>
      <c r="AXW13" s="167"/>
      <c r="AXX13" s="167"/>
      <c r="AXY13" s="168"/>
      <c r="AXZ13" s="166" t="s">
        <v>95</v>
      </c>
      <c r="AYA13" s="167"/>
      <c r="AYB13" s="167"/>
      <c r="AYC13" s="167"/>
      <c r="AYD13" s="167"/>
      <c r="AYE13" s="167"/>
      <c r="AYF13" s="167"/>
      <c r="AYG13" s="167"/>
      <c r="AYH13" s="167"/>
      <c r="AYI13" s="167"/>
      <c r="AYJ13" s="167"/>
      <c r="AYK13" s="167"/>
      <c r="AYL13" s="167"/>
      <c r="AYM13" s="167"/>
      <c r="AYN13" s="167"/>
      <c r="AYO13" s="167"/>
      <c r="AYP13" s="167"/>
      <c r="AYQ13" s="167"/>
      <c r="AYR13" s="167"/>
      <c r="AYS13" s="167"/>
      <c r="AYT13" s="167"/>
      <c r="AYU13" s="167"/>
      <c r="AYV13" s="167"/>
      <c r="AYW13" s="167"/>
      <c r="AYX13" s="167"/>
      <c r="AYY13" s="167"/>
      <c r="AYZ13" s="167"/>
      <c r="AZA13" s="167"/>
      <c r="AZB13" s="167"/>
      <c r="AZC13" s="167"/>
      <c r="AZD13" s="167"/>
      <c r="AZE13" s="167"/>
      <c r="AZF13" s="167"/>
      <c r="AZG13" s="167"/>
      <c r="AZH13" s="167"/>
      <c r="AZI13" s="167"/>
      <c r="AZJ13" s="167"/>
      <c r="AZK13" s="167"/>
      <c r="AZL13" s="167"/>
      <c r="AZM13" s="167"/>
      <c r="AZN13" s="167"/>
      <c r="AZO13" s="167"/>
      <c r="AZP13" s="167"/>
      <c r="AZQ13" s="167"/>
      <c r="AZR13" s="167"/>
      <c r="AZS13" s="167"/>
      <c r="AZT13" s="167"/>
      <c r="AZU13" s="167"/>
      <c r="AZV13" s="167"/>
      <c r="AZW13" s="167"/>
      <c r="AZX13" s="167"/>
      <c r="AZY13" s="167"/>
      <c r="AZZ13" s="167"/>
      <c r="BAA13" s="167"/>
      <c r="BAB13" s="167"/>
      <c r="BAC13" s="167"/>
      <c r="BAD13" s="167"/>
      <c r="BAE13" s="167"/>
      <c r="BAF13" s="167"/>
      <c r="BAG13" s="168"/>
      <c r="BAH13" s="166" t="s">
        <v>94</v>
      </c>
      <c r="BAI13" s="167"/>
      <c r="BAJ13" s="167"/>
      <c r="BAK13" s="167"/>
      <c r="BAL13" s="167"/>
      <c r="BAM13" s="167"/>
      <c r="BAN13" s="167"/>
      <c r="BAO13" s="167"/>
      <c r="BAP13" s="167"/>
      <c r="BAQ13" s="167"/>
      <c r="BAR13" s="167"/>
      <c r="BAS13" s="167"/>
      <c r="BAT13" s="167"/>
      <c r="BAU13" s="167"/>
      <c r="BAV13" s="167"/>
      <c r="BAW13" s="167"/>
      <c r="BAX13" s="167"/>
      <c r="BAY13" s="167"/>
      <c r="BAZ13" s="167"/>
      <c r="BBA13" s="167"/>
      <c r="BBB13" s="167"/>
      <c r="BBC13" s="167"/>
      <c r="BBD13" s="167"/>
      <c r="BBE13" s="167"/>
      <c r="BBF13" s="167"/>
      <c r="BBG13" s="167"/>
      <c r="BBH13" s="167"/>
      <c r="BBI13" s="167"/>
      <c r="BBJ13" s="167"/>
      <c r="BBK13" s="167"/>
      <c r="BBL13" s="167"/>
      <c r="BBM13" s="167"/>
      <c r="BBN13" s="167"/>
      <c r="BBO13" s="167"/>
      <c r="BBP13" s="167"/>
      <c r="BBQ13" s="167"/>
      <c r="BBR13" s="167"/>
      <c r="BBS13" s="167"/>
      <c r="BBT13" s="167"/>
      <c r="BBU13" s="167"/>
      <c r="BBV13" s="167"/>
      <c r="BBW13" s="167"/>
      <c r="BBX13" s="167"/>
      <c r="BBY13" s="167"/>
      <c r="BBZ13" s="167"/>
      <c r="BCA13" s="167"/>
      <c r="BCB13" s="167"/>
      <c r="BCC13" s="167"/>
      <c r="BCD13" s="167"/>
      <c r="BCE13" s="167"/>
      <c r="BCF13" s="167"/>
      <c r="BCG13" s="167"/>
      <c r="BCH13" s="167"/>
      <c r="BCI13" s="167"/>
      <c r="BCJ13" s="167"/>
      <c r="BCK13" s="167"/>
      <c r="BCL13" s="167"/>
      <c r="BCM13" s="167"/>
      <c r="BCN13" s="167"/>
      <c r="BCO13" s="168"/>
      <c r="BCP13" s="166" t="s">
        <v>93</v>
      </c>
      <c r="BCQ13" s="167"/>
      <c r="BCR13" s="167"/>
      <c r="BCS13" s="167"/>
      <c r="BCT13" s="167"/>
      <c r="BCU13" s="167"/>
      <c r="BCV13" s="167"/>
      <c r="BCW13" s="167"/>
      <c r="BCX13" s="167"/>
      <c r="BCY13" s="167"/>
      <c r="BCZ13" s="167"/>
      <c r="BDA13" s="167"/>
      <c r="BDB13" s="167"/>
      <c r="BDC13" s="167"/>
      <c r="BDD13" s="167"/>
      <c r="BDE13" s="167"/>
      <c r="BDF13" s="167"/>
      <c r="BDG13" s="167"/>
      <c r="BDH13" s="167"/>
      <c r="BDI13" s="167"/>
      <c r="BDJ13" s="167"/>
      <c r="BDK13" s="167"/>
      <c r="BDL13" s="167"/>
      <c r="BDM13" s="167"/>
      <c r="BDN13" s="167"/>
      <c r="BDO13" s="167"/>
      <c r="BDP13" s="167"/>
      <c r="BDQ13" s="167"/>
      <c r="BDR13" s="167"/>
      <c r="BDS13" s="167"/>
      <c r="BDT13" s="167"/>
      <c r="BDU13" s="167"/>
      <c r="BDV13" s="167"/>
      <c r="BDW13" s="167"/>
      <c r="BDX13" s="167"/>
      <c r="BDY13" s="167"/>
      <c r="BDZ13" s="167"/>
      <c r="BEA13" s="167"/>
      <c r="BEB13" s="167"/>
      <c r="BEC13" s="167"/>
      <c r="BED13" s="167"/>
      <c r="BEE13" s="167"/>
      <c r="BEF13" s="167"/>
      <c r="BEG13" s="167"/>
      <c r="BEH13" s="167"/>
      <c r="BEI13" s="167"/>
      <c r="BEJ13" s="167"/>
      <c r="BEK13" s="167"/>
      <c r="BEL13" s="167"/>
      <c r="BEM13" s="167"/>
      <c r="BEN13" s="167"/>
      <c r="BEO13" s="167"/>
      <c r="BEP13" s="167"/>
      <c r="BEQ13" s="167"/>
      <c r="BER13" s="167"/>
      <c r="BES13" s="167"/>
      <c r="BET13" s="167"/>
      <c r="BEU13" s="167"/>
      <c r="BEV13" s="167"/>
      <c r="BEW13" s="168"/>
      <c r="BEX13" s="75"/>
    </row>
    <row r="14" spans="1:1506" ht="12.75" customHeight="1" thickBot="1" x14ac:dyDescent="0.35">
      <c r="B14" s="53"/>
      <c r="C14" s="188"/>
      <c r="D14" s="128"/>
      <c r="E14" s="190"/>
      <c r="F14" s="87"/>
      <c r="G14" s="88"/>
      <c r="H14" s="88"/>
      <c r="I14" s="88"/>
      <c r="J14" s="169" t="s">
        <v>34</v>
      </c>
      <c r="K14" s="169"/>
      <c r="L14" s="169"/>
      <c r="M14" s="169"/>
      <c r="N14" s="88"/>
      <c r="O14" s="88"/>
      <c r="P14" s="170" t="s">
        <v>23</v>
      </c>
      <c r="Q14" s="170"/>
      <c r="R14" s="170"/>
      <c r="S14" s="170"/>
      <c r="T14" s="112"/>
      <c r="U14" s="112"/>
      <c r="V14" s="169" t="s">
        <v>35</v>
      </c>
      <c r="W14" s="169"/>
      <c r="X14" s="169"/>
      <c r="Y14" s="169"/>
      <c r="Z14" s="88"/>
      <c r="AA14" s="88"/>
      <c r="AB14" s="170" t="s">
        <v>24</v>
      </c>
      <c r="AC14" s="170"/>
      <c r="AD14" s="170"/>
      <c r="AE14" s="170"/>
      <c r="AF14" s="112"/>
      <c r="AG14" s="112"/>
      <c r="AH14" s="169" t="s">
        <v>36</v>
      </c>
      <c r="AI14" s="169"/>
      <c r="AJ14" s="169"/>
      <c r="AK14" s="169"/>
      <c r="AL14" s="88"/>
      <c r="AM14" s="88"/>
      <c r="AN14" s="170" t="s">
        <v>25</v>
      </c>
      <c r="AO14" s="170"/>
      <c r="AP14" s="170"/>
      <c r="AQ14" s="170"/>
      <c r="AR14" s="112"/>
      <c r="AS14" s="112"/>
      <c r="AT14" s="169" t="s">
        <v>37</v>
      </c>
      <c r="AU14" s="169"/>
      <c r="AV14" s="169"/>
      <c r="AW14" s="169"/>
      <c r="AX14" s="88"/>
      <c r="AY14" s="88"/>
      <c r="AZ14" s="170" t="s">
        <v>26</v>
      </c>
      <c r="BA14" s="170"/>
      <c r="BB14" s="170"/>
      <c r="BC14" s="170"/>
      <c r="BD14" s="112"/>
      <c r="BE14" s="112"/>
      <c r="BF14" s="169" t="s">
        <v>38</v>
      </c>
      <c r="BG14" s="169"/>
      <c r="BH14" s="169"/>
      <c r="BI14" s="169"/>
      <c r="BJ14" s="88"/>
      <c r="BK14" s="88"/>
      <c r="BL14" s="88"/>
      <c r="BM14" s="89"/>
      <c r="BN14" s="87"/>
      <c r="BO14" s="88"/>
      <c r="BP14" s="88"/>
      <c r="BQ14" s="88"/>
      <c r="BR14" s="169" t="s">
        <v>34</v>
      </c>
      <c r="BS14" s="169"/>
      <c r="BT14" s="169"/>
      <c r="BU14" s="169"/>
      <c r="BV14" s="88"/>
      <c r="BW14" s="88"/>
      <c r="BX14" s="170" t="s">
        <v>23</v>
      </c>
      <c r="BY14" s="170"/>
      <c r="BZ14" s="170"/>
      <c r="CA14" s="170"/>
      <c r="CB14" s="112"/>
      <c r="CC14" s="112"/>
      <c r="CD14" s="169" t="s">
        <v>35</v>
      </c>
      <c r="CE14" s="169"/>
      <c r="CF14" s="169"/>
      <c r="CG14" s="169"/>
      <c r="CH14" s="88"/>
      <c r="CI14" s="88"/>
      <c r="CJ14" s="170" t="s">
        <v>24</v>
      </c>
      <c r="CK14" s="170"/>
      <c r="CL14" s="170"/>
      <c r="CM14" s="170"/>
      <c r="CN14" s="112"/>
      <c r="CO14" s="112"/>
      <c r="CP14" s="169" t="s">
        <v>36</v>
      </c>
      <c r="CQ14" s="169"/>
      <c r="CR14" s="169"/>
      <c r="CS14" s="169"/>
      <c r="CT14" s="88"/>
      <c r="CU14" s="88"/>
      <c r="CV14" s="170" t="s">
        <v>25</v>
      </c>
      <c r="CW14" s="170"/>
      <c r="CX14" s="170"/>
      <c r="CY14" s="170"/>
      <c r="CZ14" s="112"/>
      <c r="DA14" s="112"/>
      <c r="DB14" s="169" t="s">
        <v>37</v>
      </c>
      <c r="DC14" s="169"/>
      <c r="DD14" s="169"/>
      <c r="DE14" s="169"/>
      <c r="DF14" s="88"/>
      <c r="DG14" s="88"/>
      <c r="DH14" s="170" t="s">
        <v>26</v>
      </c>
      <c r="DI14" s="170"/>
      <c r="DJ14" s="170"/>
      <c r="DK14" s="170"/>
      <c r="DL14" s="112"/>
      <c r="DM14" s="112"/>
      <c r="DN14" s="169" t="s">
        <v>38</v>
      </c>
      <c r="DO14" s="169"/>
      <c r="DP14" s="169"/>
      <c r="DQ14" s="169"/>
      <c r="DR14" s="88"/>
      <c r="DS14" s="88"/>
      <c r="DT14" s="88"/>
      <c r="DU14" s="89"/>
      <c r="DV14" s="87"/>
      <c r="DW14" s="88"/>
      <c r="DX14" s="88"/>
      <c r="DY14" s="88"/>
      <c r="DZ14" s="169" t="s">
        <v>34</v>
      </c>
      <c r="EA14" s="169"/>
      <c r="EB14" s="169"/>
      <c r="EC14" s="169"/>
      <c r="ED14" s="88"/>
      <c r="EE14" s="88"/>
      <c r="EF14" s="170" t="s">
        <v>23</v>
      </c>
      <c r="EG14" s="170"/>
      <c r="EH14" s="170"/>
      <c r="EI14" s="170"/>
      <c r="EJ14" s="112"/>
      <c r="EK14" s="112"/>
      <c r="EL14" s="169" t="s">
        <v>35</v>
      </c>
      <c r="EM14" s="169"/>
      <c r="EN14" s="169"/>
      <c r="EO14" s="169"/>
      <c r="EP14" s="88"/>
      <c r="EQ14" s="88"/>
      <c r="ER14" s="170" t="s">
        <v>24</v>
      </c>
      <c r="ES14" s="170"/>
      <c r="ET14" s="170"/>
      <c r="EU14" s="170"/>
      <c r="EV14" s="112"/>
      <c r="EW14" s="112"/>
      <c r="EX14" s="169" t="s">
        <v>36</v>
      </c>
      <c r="EY14" s="169"/>
      <c r="EZ14" s="169"/>
      <c r="FA14" s="169"/>
      <c r="FB14" s="88"/>
      <c r="FC14" s="88"/>
      <c r="FD14" s="170" t="s">
        <v>25</v>
      </c>
      <c r="FE14" s="170"/>
      <c r="FF14" s="170"/>
      <c r="FG14" s="170"/>
      <c r="FH14" s="112"/>
      <c r="FI14" s="112"/>
      <c r="FJ14" s="169" t="s">
        <v>37</v>
      </c>
      <c r="FK14" s="169"/>
      <c r="FL14" s="169"/>
      <c r="FM14" s="169"/>
      <c r="FN14" s="88"/>
      <c r="FO14" s="88"/>
      <c r="FP14" s="170" t="s">
        <v>26</v>
      </c>
      <c r="FQ14" s="170"/>
      <c r="FR14" s="170"/>
      <c r="FS14" s="170"/>
      <c r="FT14" s="112"/>
      <c r="FU14" s="112"/>
      <c r="FV14" s="169" t="s">
        <v>38</v>
      </c>
      <c r="FW14" s="169"/>
      <c r="FX14" s="169"/>
      <c r="FY14" s="169"/>
      <c r="FZ14" s="88"/>
      <c r="GA14" s="88"/>
      <c r="GB14" s="88"/>
      <c r="GC14" s="89"/>
      <c r="GD14" s="87"/>
      <c r="GE14" s="88"/>
      <c r="GF14" s="88"/>
      <c r="GG14" s="88"/>
      <c r="GH14" s="169" t="s">
        <v>34</v>
      </c>
      <c r="GI14" s="169"/>
      <c r="GJ14" s="169"/>
      <c r="GK14" s="169"/>
      <c r="GL14" s="88"/>
      <c r="GM14" s="88"/>
      <c r="GN14" s="170" t="s">
        <v>23</v>
      </c>
      <c r="GO14" s="170"/>
      <c r="GP14" s="170"/>
      <c r="GQ14" s="170"/>
      <c r="GR14" s="112"/>
      <c r="GS14" s="112"/>
      <c r="GT14" s="169" t="s">
        <v>35</v>
      </c>
      <c r="GU14" s="169"/>
      <c r="GV14" s="169"/>
      <c r="GW14" s="169"/>
      <c r="GX14" s="88"/>
      <c r="GY14" s="88"/>
      <c r="GZ14" s="170" t="s">
        <v>24</v>
      </c>
      <c r="HA14" s="170"/>
      <c r="HB14" s="170"/>
      <c r="HC14" s="170"/>
      <c r="HD14" s="112"/>
      <c r="HE14" s="112"/>
      <c r="HF14" s="169" t="s">
        <v>36</v>
      </c>
      <c r="HG14" s="169"/>
      <c r="HH14" s="169"/>
      <c r="HI14" s="169"/>
      <c r="HJ14" s="88"/>
      <c r="HK14" s="88"/>
      <c r="HL14" s="170" t="s">
        <v>25</v>
      </c>
      <c r="HM14" s="170"/>
      <c r="HN14" s="170"/>
      <c r="HO14" s="170"/>
      <c r="HP14" s="112"/>
      <c r="HQ14" s="112"/>
      <c r="HR14" s="169" t="s">
        <v>37</v>
      </c>
      <c r="HS14" s="169"/>
      <c r="HT14" s="169"/>
      <c r="HU14" s="169"/>
      <c r="HV14" s="88"/>
      <c r="HW14" s="88"/>
      <c r="HX14" s="170" t="s">
        <v>26</v>
      </c>
      <c r="HY14" s="170"/>
      <c r="HZ14" s="170"/>
      <c r="IA14" s="170"/>
      <c r="IB14" s="112"/>
      <c r="IC14" s="112"/>
      <c r="ID14" s="169" t="s">
        <v>38</v>
      </c>
      <c r="IE14" s="169"/>
      <c r="IF14" s="169"/>
      <c r="IG14" s="169"/>
      <c r="IH14" s="88"/>
      <c r="II14" s="88"/>
      <c r="IJ14" s="88"/>
      <c r="IK14" s="89"/>
      <c r="IL14" s="87"/>
      <c r="IM14" s="88"/>
      <c r="IN14" s="88"/>
      <c r="IO14" s="88"/>
      <c r="IP14" s="169" t="s">
        <v>34</v>
      </c>
      <c r="IQ14" s="169"/>
      <c r="IR14" s="169"/>
      <c r="IS14" s="169"/>
      <c r="IT14" s="88"/>
      <c r="IU14" s="88"/>
      <c r="IV14" s="170" t="s">
        <v>23</v>
      </c>
      <c r="IW14" s="170"/>
      <c r="IX14" s="170"/>
      <c r="IY14" s="170"/>
      <c r="IZ14" s="112"/>
      <c r="JA14" s="112"/>
      <c r="JB14" s="169" t="s">
        <v>35</v>
      </c>
      <c r="JC14" s="169"/>
      <c r="JD14" s="169"/>
      <c r="JE14" s="169"/>
      <c r="JF14" s="88"/>
      <c r="JG14" s="88"/>
      <c r="JH14" s="170" t="s">
        <v>24</v>
      </c>
      <c r="JI14" s="170"/>
      <c r="JJ14" s="170"/>
      <c r="JK14" s="170"/>
      <c r="JL14" s="112"/>
      <c r="JM14" s="112"/>
      <c r="JN14" s="169" t="s">
        <v>36</v>
      </c>
      <c r="JO14" s="169"/>
      <c r="JP14" s="169"/>
      <c r="JQ14" s="169"/>
      <c r="JR14" s="88"/>
      <c r="JS14" s="88"/>
      <c r="JT14" s="170" t="s">
        <v>25</v>
      </c>
      <c r="JU14" s="170"/>
      <c r="JV14" s="170"/>
      <c r="JW14" s="170"/>
      <c r="JX14" s="112"/>
      <c r="JY14" s="112"/>
      <c r="JZ14" s="169" t="s">
        <v>37</v>
      </c>
      <c r="KA14" s="169"/>
      <c r="KB14" s="169"/>
      <c r="KC14" s="169"/>
      <c r="KD14" s="88"/>
      <c r="KE14" s="88"/>
      <c r="KF14" s="170" t="s">
        <v>26</v>
      </c>
      <c r="KG14" s="170"/>
      <c r="KH14" s="170"/>
      <c r="KI14" s="170"/>
      <c r="KJ14" s="112"/>
      <c r="KK14" s="112"/>
      <c r="KL14" s="169" t="s">
        <v>38</v>
      </c>
      <c r="KM14" s="169"/>
      <c r="KN14" s="169"/>
      <c r="KO14" s="169"/>
      <c r="KP14" s="88"/>
      <c r="KQ14" s="88"/>
      <c r="KR14" s="88"/>
      <c r="KS14" s="89"/>
      <c r="KT14" s="87"/>
      <c r="KU14" s="88"/>
      <c r="KV14" s="88"/>
      <c r="KW14" s="88"/>
      <c r="KX14" s="169" t="s">
        <v>34</v>
      </c>
      <c r="KY14" s="169"/>
      <c r="KZ14" s="169"/>
      <c r="LA14" s="169"/>
      <c r="LB14" s="88"/>
      <c r="LC14" s="88"/>
      <c r="LD14" s="170" t="s">
        <v>23</v>
      </c>
      <c r="LE14" s="170"/>
      <c r="LF14" s="170"/>
      <c r="LG14" s="170"/>
      <c r="LH14" s="112"/>
      <c r="LI14" s="112"/>
      <c r="LJ14" s="169" t="s">
        <v>35</v>
      </c>
      <c r="LK14" s="169"/>
      <c r="LL14" s="169"/>
      <c r="LM14" s="169"/>
      <c r="LN14" s="88"/>
      <c r="LO14" s="88"/>
      <c r="LP14" s="170" t="s">
        <v>24</v>
      </c>
      <c r="LQ14" s="170"/>
      <c r="LR14" s="170"/>
      <c r="LS14" s="170"/>
      <c r="LT14" s="112"/>
      <c r="LU14" s="112"/>
      <c r="LV14" s="169" t="s">
        <v>36</v>
      </c>
      <c r="LW14" s="169"/>
      <c r="LX14" s="169"/>
      <c r="LY14" s="169"/>
      <c r="LZ14" s="88"/>
      <c r="MA14" s="88"/>
      <c r="MB14" s="170" t="s">
        <v>25</v>
      </c>
      <c r="MC14" s="170"/>
      <c r="MD14" s="170"/>
      <c r="ME14" s="170"/>
      <c r="MF14" s="112"/>
      <c r="MG14" s="112"/>
      <c r="MH14" s="169" t="s">
        <v>37</v>
      </c>
      <c r="MI14" s="169"/>
      <c r="MJ14" s="169"/>
      <c r="MK14" s="169"/>
      <c r="ML14" s="88"/>
      <c r="MM14" s="88"/>
      <c r="MN14" s="170" t="s">
        <v>26</v>
      </c>
      <c r="MO14" s="170"/>
      <c r="MP14" s="170"/>
      <c r="MQ14" s="170"/>
      <c r="MR14" s="112"/>
      <c r="MS14" s="112"/>
      <c r="MT14" s="169" t="s">
        <v>38</v>
      </c>
      <c r="MU14" s="169"/>
      <c r="MV14" s="169"/>
      <c r="MW14" s="169"/>
      <c r="MX14" s="88"/>
      <c r="MY14" s="88"/>
      <c r="MZ14" s="88"/>
      <c r="NA14" s="89"/>
      <c r="NB14" s="87"/>
      <c r="NC14" s="88"/>
      <c r="ND14" s="88"/>
      <c r="NE14" s="88"/>
      <c r="NF14" s="169" t="s">
        <v>34</v>
      </c>
      <c r="NG14" s="169"/>
      <c r="NH14" s="169"/>
      <c r="NI14" s="169"/>
      <c r="NJ14" s="88"/>
      <c r="NK14" s="88"/>
      <c r="NL14" s="170" t="s">
        <v>23</v>
      </c>
      <c r="NM14" s="170"/>
      <c r="NN14" s="170"/>
      <c r="NO14" s="170"/>
      <c r="NP14" s="112"/>
      <c r="NQ14" s="112"/>
      <c r="NR14" s="169" t="s">
        <v>35</v>
      </c>
      <c r="NS14" s="169"/>
      <c r="NT14" s="169"/>
      <c r="NU14" s="169"/>
      <c r="NV14" s="88"/>
      <c r="NW14" s="88"/>
      <c r="NX14" s="170" t="s">
        <v>24</v>
      </c>
      <c r="NY14" s="170"/>
      <c r="NZ14" s="170"/>
      <c r="OA14" s="170"/>
      <c r="OB14" s="112"/>
      <c r="OC14" s="112"/>
      <c r="OD14" s="169" t="s">
        <v>36</v>
      </c>
      <c r="OE14" s="169"/>
      <c r="OF14" s="169"/>
      <c r="OG14" s="169"/>
      <c r="OH14" s="88"/>
      <c r="OI14" s="88"/>
      <c r="OJ14" s="170" t="s">
        <v>25</v>
      </c>
      <c r="OK14" s="170"/>
      <c r="OL14" s="170"/>
      <c r="OM14" s="170"/>
      <c r="ON14" s="112"/>
      <c r="OO14" s="112"/>
      <c r="OP14" s="169" t="s">
        <v>37</v>
      </c>
      <c r="OQ14" s="169"/>
      <c r="OR14" s="169"/>
      <c r="OS14" s="169"/>
      <c r="OT14" s="88"/>
      <c r="OU14" s="88"/>
      <c r="OV14" s="170" t="s">
        <v>26</v>
      </c>
      <c r="OW14" s="170"/>
      <c r="OX14" s="170"/>
      <c r="OY14" s="170"/>
      <c r="OZ14" s="112"/>
      <c r="PA14" s="112"/>
      <c r="PB14" s="169" t="s">
        <v>38</v>
      </c>
      <c r="PC14" s="169"/>
      <c r="PD14" s="169"/>
      <c r="PE14" s="169"/>
      <c r="PF14" s="88"/>
      <c r="PG14" s="88"/>
      <c r="PH14" s="88"/>
      <c r="PI14" s="89"/>
      <c r="PJ14" s="87"/>
      <c r="PK14" s="88"/>
      <c r="PL14" s="88"/>
      <c r="PM14" s="88"/>
      <c r="PN14" s="169" t="s">
        <v>34</v>
      </c>
      <c r="PO14" s="169"/>
      <c r="PP14" s="169"/>
      <c r="PQ14" s="169"/>
      <c r="PR14" s="88"/>
      <c r="PS14" s="88"/>
      <c r="PT14" s="170" t="s">
        <v>23</v>
      </c>
      <c r="PU14" s="170"/>
      <c r="PV14" s="170"/>
      <c r="PW14" s="170"/>
      <c r="PX14" s="112"/>
      <c r="PY14" s="112"/>
      <c r="PZ14" s="169" t="s">
        <v>35</v>
      </c>
      <c r="QA14" s="169"/>
      <c r="QB14" s="169"/>
      <c r="QC14" s="169"/>
      <c r="QD14" s="88"/>
      <c r="QE14" s="88"/>
      <c r="QF14" s="170" t="s">
        <v>24</v>
      </c>
      <c r="QG14" s="170"/>
      <c r="QH14" s="170"/>
      <c r="QI14" s="170"/>
      <c r="QJ14" s="112"/>
      <c r="QK14" s="112"/>
      <c r="QL14" s="169" t="s">
        <v>36</v>
      </c>
      <c r="QM14" s="169"/>
      <c r="QN14" s="169"/>
      <c r="QO14" s="169"/>
      <c r="QP14" s="88"/>
      <c r="QQ14" s="88"/>
      <c r="QR14" s="170" t="s">
        <v>25</v>
      </c>
      <c r="QS14" s="170"/>
      <c r="QT14" s="170"/>
      <c r="QU14" s="170"/>
      <c r="QV14" s="112"/>
      <c r="QW14" s="112"/>
      <c r="QX14" s="169" t="s">
        <v>37</v>
      </c>
      <c r="QY14" s="169"/>
      <c r="QZ14" s="169"/>
      <c r="RA14" s="169"/>
      <c r="RB14" s="88"/>
      <c r="RC14" s="88"/>
      <c r="RD14" s="170" t="s">
        <v>26</v>
      </c>
      <c r="RE14" s="170"/>
      <c r="RF14" s="170"/>
      <c r="RG14" s="170"/>
      <c r="RH14" s="112"/>
      <c r="RI14" s="112"/>
      <c r="RJ14" s="169" t="s">
        <v>38</v>
      </c>
      <c r="RK14" s="169"/>
      <c r="RL14" s="169"/>
      <c r="RM14" s="169"/>
      <c r="RN14" s="88"/>
      <c r="RO14" s="88"/>
      <c r="RP14" s="88"/>
      <c r="RQ14" s="89"/>
      <c r="RR14" s="87"/>
      <c r="RS14" s="88"/>
      <c r="RT14" s="88"/>
      <c r="RU14" s="88"/>
      <c r="RV14" s="169" t="s">
        <v>34</v>
      </c>
      <c r="RW14" s="169"/>
      <c r="RX14" s="169"/>
      <c r="RY14" s="169"/>
      <c r="RZ14" s="88"/>
      <c r="SA14" s="88"/>
      <c r="SB14" s="170" t="s">
        <v>23</v>
      </c>
      <c r="SC14" s="170"/>
      <c r="SD14" s="170"/>
      <c r="SE14" s="170"/>
      <c r="SF14" s="112"/>
      <c r="SG14" s="112"/>
      <c r="SH14" s="169" t="s">
        <v>35</v>
      </c>
      <c r="SI14" s="169"/>
      <c r="SJ14" s="169"/>
      <c r="SK14" s="169"/>
      <c r="SL14" s="88"/>
      <c r="SM14" s="88"/>
      <c r="SN14" s="170" t="s">
        <v>24</v>
      </c>
      <c r="SO14" s="170"/>
      <c r="SP14" s="170"/>
      <c r="SQ14" s="170"/>
      <c r="SR14" s="112"/>
      <c r="SS14" s="112"/>
      <c r="ST14" s="169" t="s">
        <v>36</v>
      </c>
      <c r="SU14" s="169"/>
      <c r="SV14" s="169"/>
      <c r="SW14" s="169"/>
      <c r="SX14" s="88"/>
      <c r="SY14" s="88"/>
      <c r="SZ14" s="170" t="s">
        <v>25</v>
      </c>
      <c r="TA14" s="170"/>
      <c r="TB14" s="170"/>
      <c r="TC14" s="170"/>
      <c r="TD14" s="112"/>
      <c r="TE14" s="112"/>
      <c r="TF14" s="169" t="s">
        <v>37</v>
      </c>
      <c r="TG14" s="169"/>
      <c r="TH14" s="169"/>
      <c r="TI14" s="169"/>
      <c r="TJ14" s="88"/>
      <c r="TK14" s="88"/>
      <c r="TL14" s="170" t="s">
        <v>26</v>
      </c>
      <c r="TM14" s="170"/>
      <c r="TN14" s="170"/>
      <c r="TO14" s="170"/>
      <c r="TP14" s="112"/>
      <c r="TQ14" s="112"/>
      <c r="TR14" s="169" t="s">
        <v>38</v>
      </c>
      <c r="TS14" s="169"/>
      <c r="TT14" s="169"/>
      <c r="TU14" s="169"/>
      <c r="TV14" s="88"/>
      <c r="TW14" s="88"/>
      <c r="TX14" s="88"/>
      <c r="TY14" s="89"/>
      <c r="TZ14" s="87"/>
      <c r="UA14" s="88"/>
      <c r="UB14" s="88"/>
      <c r="UC14" s="88"/>
      <c r="UD14" s="169" t="s">
        <v>34</v>
      </c>
      <c r="UE14" s="169"/>
      <c r="UF14" s="169"/>
      <c r="UG14" s="169"/>
      <c r="UH14" s="88"/>
      <c r="UI14" s="88"/>
      <c r="UJ14" s="170" t="s">
        <v>23</v>
      </c>
      <c r="UK14" s="170"/>
      <c r="UL14" s="170"/>
      <c r="UM14" s="170"/>
      <c r="UN14" s="112"/>
      <c r="UO14" s="112"/>
      <c r="UP14" s="169" t="s">
        <v>35</v>
      </c>
      <c r="UQ14" s="169"/>
      <c r="UR14" s="169"/>
      <c r="US14" s="169"/>
      <c r="UT14" s="88"/>
      <c r="UU14" s="88"/>
      <c r="UV14" s="170" t="s">
        <v>24</v>
      </c>
      <c r="UW14" s="170"/>
      <c r="UX14" s="170"/>
      <c r="UY14" s="170"/>
      <c r="UZ14" s="112"/>
      <c r="VA14" s="112"/>
      <c r="VB14" s="169" t="s">
        <v>36</v>
      </c>
      <c r="VC14" s="169"/>
      <c r="VD14" s="169"/>
      <c r="VE14" s="169"/>
      <c r="VF14" s="88"/>
      <c r="VG14" s="88"/>
      <c r="VH14" s="170" t="s">
        <v>25</v>
      </c>
      <c r="VI14" s="170"/>
      <c r="VJ14" s="170"/>
      <c r="VK14" s="170"/>
      <c r="VL14" s="112"/>
      <c r="VM14" s="112"/>
      <c r="VN14" s="169" t="s">
        <v>37</v>
      </c>
      <c r="VO14" s="169"/>
      <c r="VP14" s="169"/>
      <c r="VQ14" s="169"/>
      <c r="VR14" s="88"/>
      <c r="VS14" s="88"/>
      <c r="VT14" s="170" t="s">
        <v>26</v>
      </c>
      <c r="VU14" s="170"/>
      <c r="VV14" s="170"/>
      <c r="VW14" s="170"/>
      <c r="VX14" s="112"/>
      <c r="VY14" s="112"/>
      <c r="VZ14" s="169" t="s">
        <v>38</v>
      </c>
      <c r="WA14" s="169"/>
      <c r="WB14" s="169"/>
      <c r="WC14" s="169"/>
      <c r="WD14" s="88"/>
      <c r="WE14" s="88"/>
      <c r="WF14" s="88"/>
      <c r="WG14" s="89"/>
      <c r="WH14" s="87"/>
      <c r="WI14" s="88"/>
      <c r="WJ14" s="88"/>
      <c r="WK14" s="88"/>
      <c r="WL14" s="169" t="s">
        <v>34</v>
      </c>
      <c r="WM14" s="169"/>
      <c r="WN14" s="169"/>
      <c r="WO14" s="169"/>
      <c r="WP14" s="88"/>
      <c r="WQ14" s="88"/>
      <c r="WR14" s="170" t="s">
        <v>23</v>
      </c>
      <c r="WS14" s="170"/>
      <c r="WT14" s="170"/>
      <c r="WU14" s="170"/>
      <c r="WV14" s="112"/>
      <c r="WW14" s="112"/>
      <c r="WX14" s="169" t="s">
        <v>35</v>
      </c>
      <c r="WY14" s="169"/>
      <c r="WZ14" s="169"/>
      <c r="XA14" s="169"/>
      <c r="XB14" s="88"/>
      <c r="XC14" s="88"/>
      <c r="XD14" s="170" t="s">
        <v>24</v>
      </c>
      <c r="XE14" s="170"/>
      <c r="XF14" s="170"/>
      <c r="XG14" s="170"/>
      <c r="XH14" s="112"/>
      <c r="XI14" s="112"/>
      <c r="XJ14" s="169" t="s">
        <v>36</v>
      </c>
      <c r="XK14" s="169"/>
      <c r="XL14" s="169"/>
      <c r="XM14" s="169"/>
      <c r="XN14" s="88"/>
      <c r="XO14" s="88"/>
      <c r="XP14" s="170" t="s">
        <v>25</v>
      </c>
      <c r="XQ14" s="170"/>
      <c r="XR14" s="170"/>
      <c r="XS14" s="170"/>
      <c r="XT14" s="112"/>
      <c r="XU14" s="112"/>
      <c r="XV14" s="169" t="s">
        <v>37</v>
      </c>
      <c r="XW14" s="169"/>
      <c r="XX14" s="169"/>
      <c r="XY14" s="169"/>
      <c r="XZ14" s="88"/>
      <c r="YA14" s="88"/>
      <c r="YB14" s="170" t="s">
        <v>26</v>
      </c>
      <c r="YC14" s="170"/>
      <c r="YD14" s="170"/>
      <c r="YE14" s="170"/>
      <c r="YF14" s="112"/>
      <c r="YG14" s="112"/>
      <c r="YH14" s="169" t="s">
        <v>38</v>
      </c>
      <c r="YI14" s="169"/>
      <c r="YJ14" s="169"/>
      <c r="YK14" s="169"/>
      <c r="YL14" s="88"/>
      <c r="YM14" s="88"/>
      <c r="YN14" s="88"/>
      <c r="YO14" s="89"/>
      <c r="YP14" s="87"/>
      <c r="YQ14" s="88"/>
      <c r="YR14" s="88"/>
      <c r="YS14" s="88"/>
      <c r="YT14" s="169" t="s">
        <v>34</v>
      </c>
      <c r="YU14" s="169"/>
      <c r="YV14" s="169"/>
      <c r="YW14" s="169"/>
      <c r="YX14" s="88"/>
      <c r="YY14" s="88"/>
      <c r="YZ14" s="170" t="s">
        <v>23</v>
      </c>
      <c r="ZA14" s="170"/>
      <c r="ZB14" s="170"/>
      <c r="ZC14" s="170"/>
      <c r="ZD14" s="112"/>
      <c r="ZE14" s="112"/>
      <c r="ZF14" s="169" t="s">
        <v>35</v>
      </c>
      <c r="ZG14" s="169"/>
      <c r="ZH14" s="169"/>
      <c r="ZI14" s="169"/>
      <c r="ZJ14" s="88"/>
      <c r="ZK14" s="88"/>
      <c r="ZL14" s="170" t="s">
        <v>24</v>
      </c>
      <c r="ZM14" s="170"/>
      <c r="ZN14" s="170"/>
      <c r="ZO14" s="170"/>
      <c r="ZP14" s="112"/>
      <c r="ZQ14" s="112"/>
      <c r="ZR14" s="169" t="s">
        <v>36</v>
      </c>
      <c r="ZS14" s="169"/>
      <c r="ZT14" s="169"/>
      <c r="ZU14" s="169"/>
      <c r="ZV14" s="88"/>
      <c r="ZW14" s="88"/>
      <c r="ZX14" s="170" t="s">
        <v>25</v>
      </c>
      <c r="ZY14" s="170"/>
      <c r="ZZ14" s="170"/>
      <c r="AAA14" s="170"/>
      <c r="AAB14" s="112"/>
      <c r="AAC14" s="112"/>
      <c r="AAD14" s="169" t="s">
        <v>37</v>
      </c>
      <c r="AAE14" s="169"/>
      <c r="AAF14" s="169"/>
      <c r="AAG14" s="169"/>
      <c r="AAH14" s="88"/>
      <c r="AAI14" s="88"/>
      <c r="AAJ14" s="170" t="s">
        <v>26</v>
      </c>
      <c r="AAK14" s="170"/>
      <c r="AAL14" s="170"/>
      <c r="AAM14" s="170"/>
      <c r="AAN14" s="112"/>
      <c r="AAO14" s="112"/>
      <c r="AAP14" s="169" t="s">
        <v>38</v>
      </c>
      <c r="AAQ14" s="169"/>
      <c r="AAR14" s="169"/>
      <c r="AAS14" s="169"/>
      <c r="AAT14" s="88"/>
      <c r="AAU14" s="88"/>
      <c r="AAV14" s="88"/>
      <c r="AAW14" s="89"/>
      <c r="AAX14" s="87"/>
      <c r="AAY14" s="88"/>
      <c r="AAZ14" s="88"/>
      <c r="ABA14" s="88"/>
      <c r="ABB14" s="169" t="s">
        <v>34</v>
      </c>
      <c r="ABC14" s="169"/>
      <c r="ABD14" s="169"/>
      <c r="ABE14" s="169"/>
      <c r="ABF14" s="88"/>
      <c r="ABG14" s="88"/>
      <c r="ABH14" s="170" t="s">
        <v>23</v>
      </c>
      <c r="ABI14" s="170"/>
      <c r="ABJ14" s="170"/>
      <c r="ABK14" s="170"/>
      <c r="ABL14" s="112"/>
      <c r="ABM14" s="112"/>
      <c r="ABN14" s="169" t="s">
        <v>35</v>
      </c>
      <c r="ABO14" s="169"/>
      <c r="ABP14" s="169"/>
      <c r="ABQ14" s="169"/>
      <c r="ABR14" s="88"/>
      <c r="ABS14" s="88"/>
      <c r="ABT14" s="170" t="s">
        <v>24</v>
      </c>
      <c r="ABU14" s="170"/>
      <c r="ABV14" s="170"/>
      <c r="ABW14" s="170"/>
      <c r="ABX14" s="112"/>
      <c r="ABY14" s="112"/>
      <c r="ABZ14" s="169" t="s">
        <v>36</v>
      </c>
      <c r="ACA14" s="169"/>
      <c r="ACB14" s="169"/>
      <c r="ACC14" s="169"/>
      <c r="ACD14" s="88"/>
      <c r="ACE14" s="88"/>
      <c r="ACF14" s="170" t="s">
        <v>25</v>
      </c>
      <c r="ACG14" s="170"/>
      <c r="ACH14" s="170"/>
      <c r="ACI14" s="170"/>
      <c r="ACJ14" s="112"/>
      <c r="ACK14" s="112"/>
      <c r="ACL14" s="169" t="s">
        <v>37</v>
      </c>
      <c r="ACM14" s="169"/>
      <c r="ACN14" s="169"/>
      <c r="ACO14" s="169"/>
      <c r="ACP14" s="88"/>
      <c r="ACQ14" s="88"/>
      <c r="ACR14" s="170" t="s">
        <v>26</v>
      </c>
      <c r="ACS14" s="170"/>
      <c r="ACT14" s="170"/>
      <c r="ACU14" s="170"/>
      <c r="ACV14" s="112"/>
      <c r="ACW14" s="112"/>
      <c r="ACX14" s="169" t="s">
        <v>38</v>
      </c>
      <c r="ACY14" s="169"/>
      <c r="ACZ14" s="169"/>
      <c r="ADA14" s="169"/>
      <c r="ADB14" s="88"/>
      <c r="ADC14" s="88"/>
      <c r="ADD14" s="88"/>
      <c r="ADE14" s="89"/>
      <c r="ADF14" s="87"/>
      <c r="ADG14" s="88"/>
      <c r="ADH14" s="88"/>
      <c r="ADI14" s="88"/>
      <c r="ADJ14" s="169" t="s">
        <v>34</v>
      </c>
      <c r="ADK14" s="169"/>
      <c r="ADL14" s="169"/>
      <c r="ADM14" s="169"/>
      <c r="ADN14" s="88"/>
      <c r="ADO14" s="88"/>
      <c r="ADP14" s="170" t="s">
        <v>23</v>
      </c>
      <c r="ADQ14" s="170"/>
      <c r="ADR14" s="170"/>
      <c r="ADS14" s="170"/>
      <c r="ADT14" s="112"/>
      <c r="ADU14" s="112"/>
      <c r="ADV14" s="169" t="s">
        <v>35</v>
      </c>
      <c r="ADW14" s="169"/>
      <c r="ADX14" s="169"/>
      <c r="ADY14" s="169"/>
      <c r="ADZ14" s="88"/>
      <c r="AEA14" s="88"/>
      <c r="AEB14" s="170" t="s">
        <v>24</v>
      </c>
      <c r="AEC14" s="170"/>
      <c r="AED14" s="170"/>
      <c r="AEE14" s="170"/>
      <c r="AEF14" s="112"/>
      <c r="AEG14" s="112"/>
      <c r="AEH14" s="169" t="s">
        <v>36</v>
      </c>
      <c r="AEI14" s="169"/>
      <c r="AEJ14" s="169"/>
      <c r="AEK14" s="169"/>
      <c r="AEL14" s="88"/>
      <c r="AEM14" s="88"/>
      <c r="AEN14" s="170" t="s">
        <v>25</v>
      </c>
      <c r="AEO14" s="170"/>
      <c r="AEP14" s="170"/>
      <c r="AEQ14" s="170"/>
      <c r="AER14" s="112"/>
      <c r="AES14" s="112"/>
      <c r="AET14" s="169" t="s">
        <v>37</v>
      </c>
      <c r="AEU14" s="169"/>
      <c r="AEV14" s="169"/>
      <c r="AEW14" s="169"/>
      <c r="AEX14" s="88"/>
      <c r="AEY14" s="88"/>
      <c r="AEZ14" s="170" t="s">
        <v>26</v>
      </c>
      <c r="AFA14" s="170"/>
      <c r="AFB14" s="170"/>
      <c r="AFC14" s="170"/>
      <c r="AFD14" s="112"/>
      <c r="AFE14" s="112"/>
      <c r="AFF14" s="169" t="s">
        <v>38</v>
      </c>
      <c r="AFG14" s="169"/>
      <c r="AFH14" s="169"/>
      <c r="AFI14" s="169"/>
      <c r="AFJ14" s="88"/>
      <c r="AFK14" s="88"/>
      <c r="AFL14" s="88"/>
      <c r="AFM14" s="89"/>
      <c r="AFN14" s="87"/>
      <c r="AFO14" s="88"/>
      <c r="AFP14" s="88"/>
      <c r="AFQ14" s="88"/>
      <c r="AFR14" s="169" t="s">
        <v>34</v>
      </c>
      <c r="AFS14" s="169"/>
      <c r="AFT14" s="169"/>
      <c r="AFU14" s="169"/>
      <c r="AFV14" s="88"/>
      <c r="AFW14" s="88"/>
      <c r="AFX14" s="170" t="s">
        <v>23</v>
      </c>
      <c r="AFY14" s="170"/>
      <c r="AFZ14" s="170"/>
      <c r="AGA14" s="170"/>
      <c r="AGB14" s="112"/>
      <c r="AGC14" s="112"/>
      <c r="AGD14" s="169" t="s">
        <v>35</v>
      </c>
      <c r="AGE14" s="169"/>
      <c r="AGF14" s="169"/>
      <c r="AGG14" s="169"/>
      <c r="AGH14" s="88"/>
      <c r="AGI14" s="88"/>
      <c r="AGJ14" s="170" t="s">
        <v>24</v>
      </c>
      <c r="AGK14" s="170"/>
      <c r="AGL14" s="170"/>
      <c r="AGM14" s="170"/>
      <c r="AGN14" s="112"/>
      <c r="AGO14" s="112"/>
      <c r="AGP14" s="169" t="s">
        <v>36</v>
      </c>
      <c r="AGQ14" s="169"/>
      <c r="AGR14" s="169"/>
      <c r="AGS14" s="169"/>
      <c r="AGT14" s="88"/>
      <c r="AGU14" s="88"/>
      <c r="AGV14" s="170" t="s">
        <v>25</v>
      </c>
      <c r="AGW14" s="170"/>
      <c r="AGX14" s="170"/>
      <c r="AGY14" s="170"/>
      <c r="AGZ14" s="112"/>
      <c r="AHA14" s="112"/>
      <c r="AHB14" s="169" t="s">
        <v>37</v>
      </c>
      <c r="AHC14" s="169"/>
      <c r="AHD14" s="169"/>
      <c r="AHE14" s="169"/>
      <c r="AHF14" s="88"/>
      <c r="AHG14" s="88"/>
      <c r="AHH14" s="170" t="s">
        <v>26</v>
      </c>
      <c r="AHI14" s="170"/>
      <c r="AHJ14" s="170"/>
      <c r="AHK14" s="170"/>
      <c r="AHL14" s="112"/>
      <c r="AHM14" s="112"/>
      <c r="AHN14" s="169" t="s">
        <v>38</v>
      </c>
      <c r="AHO14" s="169"/>
      <c r="AHP14" s="169"/>
      <c r="AHQ14" s="169"/>
      <c r="AHR14" s="88"/>
      <c r="AHS14" s="88"/>
      <c r="AHT14" s="88"/>
      <c r="AHU14" s="89"/>
      <c r="AHV14" s="87"/>
      <c r="AHW14" s="88"/>
      <c r="AHX14" s="88"/>
      <c r="AHY14" s="88"/>
      <c r="AHZ14" s="169" t="s">
        <v>34</v>
      </c>
      <c r="AIA14" s="169"/>
      <c r="AIB14" s="169"/>
      <c r="AIC14" s="169"/>
      <c r="AID14" s="88"/>
      <c r="AIE14" s="88"/>
      <c r="AIF14" s="170" t="s">
        <v>23</v>
      </c>
      <c r="AIG14" s="170"/>
      <c r="AIH14" s="170"/>
      <c r="AII14" s="170"/>
      <c r="AIJ14" s="112"/>
      <c r="AIK14" s="112"/>
      <c r="AIL14" s="169" t="s">
        <v>35</v>
      </c>
      <c r="AIM14" s="169"/>
      <c r="AIN14" s="169"/>
      <c r="AIO14" s="169"/>
      <c r="AIP14" s="88"/>
      <c r="AIQ14" s="88"/>
      <c r="AIR14" s="170" t="s">
        <v>24</v>
      </c>
      <c r="AIS14" s="170"/>
      <c r="AIT14" s="170"/>
      <c r="AIU14" s="170"/>
      <c r="AIV14" s="112"/>
      <c r="AIW14" s="112"/>
      <c r="AIX14" s="169" t="s">
        <v>36</v>
      </c>
      <c r="AIY14" s="169"/>
      <c r="AIZ14" s="169"/>
      <c r="AJA14" s="169"/>
      <c r="AJB14" s="88"/>
      <c r="AJC14" s="88"/>
      <c r="AJD14" s="170" t="s">
        <v>25</v>
      </c>
      <c r="AJE14" s="170"/>
      <c r="AJF14" s="170"/>
      <c r="AJG14" s="170"/>
      <c r="AJH14" s="112"/>
      <c r="AJI14" s="112"/>
      <c r="AJJ14" s="169" t="s">
        <v>37</v>
      </c>
      <c r="AJK14" s="169"/>
      <c r="AJL14" s="169"/>
      <c r="AJM14" s="169"/>
      <c r="AJN14" s="88"/>
      <c r="AJO14" s="88"/>
      <c r="AJP14" s="170" t="s">
        <v>26</v>
      </c>
      <c r="AJQ14" s="170"/>
      <c r="AJR14" s="170"/>
      <c r="AJS14" s="170"/>
      <c r="AJT14" s="112"/>
      <c r="AJU14" s="112"/>
      <c r="AJV14" s="169" t="s">
        <v>38</v>
      </c>
      <c r="AJW14" s="169"/>
      <c r="AJX14" s="169"/>
      <c r="AJY14" s="169"/>
      <c r="AJZ14" s="88"/>
      <c r="AKA14" s="88"/>
      <c r="AKB14" s="88"/>
      <c r="AKC14" s="89"/>
      <c r="AKD14" s="87"/>
      <c r="AKE14" s="88"/>
      <c r="AKF14" s="88"/>
      <c r="AKG14" s="88"/>
      <c r="AKH14" s="169" t="s">
        <v>34</v>
      </c>
      <c r="AKI14" s="169"/>
      <c r="AKJ14" s="169"/>
      <c r="AKK14" s="169"/>
      <c r="AKL14" s="88"/>
      <c r="AKM14" s="88"/>
      <c r="AKN14" s="170" t="s">
        <v>23</v>
      </c>
      <c r="AKO14" s="170"/>
      <c r="AKP14" s="170"/>
      <c r="AKQ14" s="170"/>
      <c r="AKR14" s="112"/>
      <c r="AKS14" s="112"/>
      <c r="AKT14" s="169" t="s">
        <v>35</v>
      </c>
      <c r="AKU14" s="169"/>
      <c r="AKV14" s="169"/>
      <c r="AKW14" s="169"/>
      <c r="AKX14" s="88"/>
      <c r="AKY14" s="88"/>
      <c r="AKZ14" s="170" t="s">
        <v>24</v>
      </c>
      <c r="ALA14" s="170"/>
      <c r="ALB14" s="170"/>
      <c r="ALC14" s="170"/>
      <c r="ALD14" s="112"/>
      <c r="ALE14" s="112"/>
      <c r="ALF14" s="169" t="s">
        <v>36</v>
      </c>
      <c r="ALG14" s="169"/>
      <c r="ALH14" s="169"/>
      <c r="ALI14" s="169"/>
      <c r="ALJ14" s="88"/>
      <c r="ALK14" s="88"/>
      <c r="ALL14" s="170" t="s">
        <v>25</v>
      </c>
      <c r="ALM14" s="170"/>
      <c r="ALN14" s="170"/>
      <c r="ALO14" s="170"/>
      <c r="ALP14" s="112"/>
      <c r="ALQ14" s="112"/>
      <c r="ALR14" s="169" t="s">
        <v>37</v>
      </c>
      <c r="ALS14" s="169"/>
      <c r="ALT14" s="169"/>
      <c r="ALU14" s="169"/>
      <c r="ALV14" s="88"/>
      <c r="ALW14" s="88"/>
      <c r="ALX14" s="170" t="s">
        <v>26</v>
      </c>
      <c r="ALY14" s="170"/>
      <c r="ALZ14" s="170"/>
      <c r="AMA14" s="170"/>
      <c r="AMB14" s="112"/>
      <c r="AMC14" s="112"/>
      <c r="AMD14" s="169" t="s">
        <v>38</v>
      </c>
      <c r="AME14" s="169"/>
      <c r="AMF14" s="169"/>
      <c r="AMG14" s="169"/>
      <c r="AMH14" s="88"/>
      <c r="AMI14" s="88"/>
      <c r="AMJ14" s="88"/>
      <c r="AMK14" s="89"/>
      <c r="AML14" s="87"/>
      <c r="AMM14" s="88"/>
      <c r="AMN14" s="88"/>
      <c r="AMO14" s="88"/>
      <c r="AMP14" s="169" t="s">
        <v>34</v>
      </c>
      <c r="AMQ14" s="169"/>
      <c r="AMR14" s="169"/>
      <c r="AMS14" s="169"/>
      <c r="AMT14" s="88"/>
      <c r="AMU14" s="88"/>
      <c r="AMV14" s="170" t="s">
        <v>23</v>
      </c>
      <c r="AMW14" s="170"/>
      <c r="AMX14" s="170"/>
      <c r="AMY14" s="170"/>
      <c r="AMZ14" s="112"/>
      <c r="ANA14" s="112"/>
      <c r="ANB14" s="169" t="s">
        <v>35</v>
      </c>
      <c r="ANC14" s="169"/>
      <c r="AND14" s="169"/>
      <c r="ANE14" s="169"/>
      <c r="ANF14" s="88"/>
      <c r="ANG14" s="88"/>
      <c r="ANH14" s="170" t="s">
        <v>24</v>
      </c>
      <c r="ANI14" s="170"/>
      <c r="ANJ14" s="170"/>
      <c r="ANK14" s="170"/>
      <c r="ANL14" s="112"/>
      <c r="ANM14" s="112"/>
      <c r="ANN14" s="169" t="s">
        <v>36</v>
      </c>
      <c r="ANO14" s="169"/>
      <c r="ANP14" s="169"/>
      <c r="ANQ14" s="169"/>
      <c r="ANR14" s="88"/>
      <c r="ANS14" s="88"/>
      <c r="ANT14" s="170" t="s">
        <v>25</v>
      </c>
      <c r="ANU14" s="170"/>
      <c r="ANV14" s="170"/>
      <c r="ANW14" s="170"/>
      <c r="ANX14" s="112"/>
      <c r="ANY14" s="112"/>
      <c r="ANZ14" s="169" t="s">
        <v>37</v>
      </c>
      <c r="AOA14" s="169"/>
      <c r="AOB14" s="169"/>
      <c r="AOC14" s="169"/>
      <c r="AOD14" s="88"/>
      <c r="AOE14" s="88"/>
      <c r="AOF14" s="170" t="s">
        <v>26</v>
      </c>
      <c r="AOG14" s="170"/>
      <c r="AOH14" s="170"/>
      <c r="AOI14" s="170"/>
      <c r="AOJ14" s="112"/>
      <c r="AOK14" s="112"/>
      <c r="AOL14" s="169" t="s">
        <v>38</v>
      </c>
      <c r="AOM14" s="169"/>
      <c r="AON14" s="169"/>
      <c r="AOO14" s="169"/>
      <c r="AOP14" s="88"/>
      <c r="AOQ14" s="88"/>
      <c r="AOR14" s="88"/>
      <c r="AOS14" s="89"/>
      <c r="AOT14" s="87"/>
      <c r="AOU14" s="88"/>
      <c r="AOV14" s="88"/>
      <c r="AOW14" s="88"/>
      <c r="AOX14" s="169" t="s">
        <v>34</v>
      </c>
      <c r="AOY14" s="169"/>
      <c r="AOZ14" s="169"/>
      <c r="APA14" s="169"/>
      <c r="APB14" s="88"/>
      <c r="APC14" s="88"/>
      <c r="APD14" s="170" t="s">
        <v>23</v>
      </c>
      <c r="APE14" s="170"/>
      <c r="APF14" s="170"/>
      <c r="APG14" s="170"/>
      <c r="APH14" s="112"/>
      <c r="API14" s="112"/>
      <c r="APJ14" s="169" t="s">
        <v>35</v>
      </c>
      <c r="APK14" s="169"/>
      <c r="APL14" s="169"/>
      <c r="APM14" s="169"/>
      <c r="APN14" s="88"/>
      <c r="APO14" s="88"/>
      <c r="APP14" s="170" t="s">
        <v>24</v>
      </c>
      <c r="APQ14" s="170"/>
      <c r="APR14" s="170"/>
      <c r="APS14" s="170"/>
      <c r="APT14" s="112"/>
      <c r="APU14" s="112"/>
      <c r="APV14" s="169" t="s">
        <v>36</v>
      </c>
      <c r="APW14" s="169"/>
      <c r="APX14" s="169"/>
      <c r="APY14" s="169"/>
      <c r="APZ14" s="88"/>
      <c r="AQA14" s="88"/>
      <c r="AQB14" s="170" t="s">
        <v>25</v>
      </c>
      <c r="AQC14" s="170"/>
      <c r="AQD14" s="170"/>
      <c r="AQE14" s="170"/>
      <c r="AQF14" s="112"/>
      <c r="AQG14" s="112"/>
      <c r="AQH14" s="169" t="s">
        <v>37</v>
      </c>
      <c r="AQI14" s="169"/>
      <c r="AQJ14" s="169"/>
      <c r="AQK14" s="169"/>
      <c r="AQL14" s="88"/>
      <c r="AQM14" s="88"/>
      <c r="AQN14" s="170" t="s">
        <v>26</v>
      </c>
      <c r="AQO14" s="170"/>
      <c r="AQP14" s="170"/>
      <c r="AQQ14" s="170"/>
      <c r="AQR14" s="112"/>
      <c r="AQS14" s="112"/>
      <c r="AQT14" s="169" t="s">
        <v>38</v>
      </c>
      <c r="AQU14" s="169"/>
      <c r="AQV14" s="169"/>
      <c r="AQW14" s="169"/>
      <c r="AQX14" s="88"/>
      <c r="AQY14" s="88"/>
      <c r="AQZ14" s="88"/>
      <c r="ARA14" s="89"/>
      <c r="ARB14" s="87"/>
      <c r="ARC14" s="88"/>
      <c r="ARD14" s="88"/>
      <c r="ARE14" s="88"/>
      <c r="ARF14" s="169" t="s">
        <v>34</v>
      </c>
      <c r="ARG14" s="169"/>
      <c r="ARH14" s="169"/>
      <c r="ARI14" s="169"/>
      <c r="ARJ14" s="88"/>
      <c r="ARK14" s="88"/>
      <c r="ARL14" s="170" t="s">
        <v>23</v>
      </c>
      <c r="ARM14" s="170"/>
      <c r="ARN14" s="170"/>
      <c r="ARO14" s="170"/>
      <c r="ARP14" s="112"/>
      <c r="ARQ14" s="112"/>
      <c r="ARR14" s="169" t="s">
        <v>35</v>
      </c>
      <c r="ARS14" s="169"/>
      <c r="ART14" s="169"/>
      <c r="ARU14" s="169"/>
      <c r="ARV14" s="88"/>
      <c r="ARW14" s="88"/>
      <c r="ARX14" s="170" t="s">
        <v>24</v>
      </c>
      <c r="ARY14" s="170"/>
      <c r="ARZ14" s="170"/>
      <c r="ASA14" s="170"/>
      <c r="ASB14" s="112"/>
      <c r="ASC14" s="112"/>
      <c r="ASD14" s="169" t="s">
        <v>36</v>
      </c>
      <c r="ASE14" s="169"/>
      <c r="ASF14" s="169"/>
      <c r="ASG14" s="169"/>
      <c r="ASH14" s="88"/>
      <c r="ASI14" s="88"/>
      <c r="ASJ14" s="170" t="s">
        <v>25</v>
      </c>
      <c r="ASK14" s="170"/>
      <c r="ASL14" s="170"/>
      <c r="ASM14" s="170"/>
      <c r="ASN14" s="112"/>
      <c r="ASO14" s="112"/>
      <c r="ASP14" s="169" t="s">
        <v>37</v>
      </c>
      <c r="ASQ14" s="169"/>
      <c r="ASR14" s="169"/>
      <c r="ASS14" s="169"/>
      <c r="AST14" s="88"/>
      <c r="ASU14" s="88"/>
      <c r="ASV14" s="170" t="s">
        <v>26</v>
      </c>
      <c r="ASW14" s="170"/>
      <c r="ASX14" s="170"/>
      <c r="ASY14" s="170"/>
      <c r="ASZ14" s="112"/>
      <c r="ATA14" s="112"/>
      <c r="ATB14" s="169" t="s">
        <v>38</v>
      </c>
      <c r="ATC14" s="169"/>
      <c r="ATD14" s="169"/>
      <c r="ATE14" s="169"/>
      <c r="ATF14" s="88"/>
      <c r="ATG14" s="88"/>
      <c r="ATH14" s="88"/>
      <c r="ATI14" s="89"/>
      <c r="ATJ14" s="87"/>
      <c r="ATK14" s="88"/>
      <c r="ATL14" s="88"/>
      <c r="ATM14" s="88"/>
      <c r="ATN14" s="169" t="s">
        <v>34</v>
      </c>
      <c r="ATO14" s="169"/>
      <c r="ATP14" s="169"/>
      <c r="ATQ14" s="169"/>
      <c r="ATR14" s="88"/>
      <c r="ATS14" s="88"/>
      <c r="ATT14" s="170" t="s">
        <v>23</v>
      </c>
      <c r="ATU14" s="170"/>
      <c r="ATV14" s="170"/>
      <c r="ATW14" s="170"/>
      <c r="ATX14" s="112"/>
      <c r="ATY14" s="112"/>
      <c r="ATZ14" s="169" t="s">
        <v>35</v>
      </c>
      <c r="AUA14" s="169"/>
      <c r="AUB14" s="169"/>
      <c r="AUC14" s="169"/>
      <c r="AUD14" s="88"/>
      <c r="AUE14" s="88"/>
      <c r="AUF14" s="170" t="s">
        <v>24</v>
      </c>
      <c r="AUG14" s="170"/>
      <c r="AUH14" s="170"/>
      <c r="AUI14" s="170"/>
      <c r="AUJ14" s="112"/>
      <c r="AUK14" s="112"/>
      <c r="AUL14" s="169" t="s">
        <v>36</v>
      </c>
      <c r="AUM14" s="169"/>
      <c r="AUN14" s="169"/>
      <c r="AUO14" s="169"/>
      <c r="AUP14" s="88"/>
      <c r="AUQ14" s="88"/>
      <c r="AUR14" s="170" t="s">
        <v>25</v>
      </c>
      <c r="AUS14" s="170"/>
      <c r="AUT14" s="170"/>
      <c r="AUU14" s="170"/>
      <c r="AUV14" s="112"/>
      <c r="AUW14" s="112"/>
      <c r="AUX14" s="169" t="s">
        <v>37</v>
      </c>
      <c r="AUY14" s="169"/>
      <c r="AUZ14" s="169"/>
      <c r="AVA14" s="169"/>
      <c r="AVB14" s="88"/>
      <c r="AVC14" s="88"/>
      <c r="AVD14" s="170" t="s">
        <v>26</v>
      </c>
      <c r="AVE14" s="170"/>
      <c r="AVF14" s="170"/>
      <c r="AVG14" s="170"/>
      <c r="AVH14" s="112"/>
      <c r="AVI14" s="112"/>
      <c r="AVJ14" s="169" t="s">
        <v>38</v>
      </c>
      <c r="AVK14" s="169"/>
      <c r="AVL14" s="169"/>
      <c r="AVM14" s="169"/>
      <c r="AVN14" s="88"/>
      <c r="AVO14" s="88"/>
      <c r="AVP14" s="88"/>
      <c r="AVQ14" s="89"/>
      <c r="AVR14" s="87"/>
      <c r="AVS14" s="88"/>
      <c r="AVT14" s="88"/>
      <c r="AVU14" s="88"/>
      <c r="AVV14" s="169" t="s">
        <v>34</v>
      </c>
      <c r="AVW14" s="169"/>
      <c r="AVX14" s="169"/>
      <c r="AVY14" s="169"/>
      <c r="AVZ14" s="88"/>
      <c r="AWA14" s="88"/>
      <c r="AWB14" s="170" t="s">
        <v>23</v>
      </c>
      <c r="AWC14" s="170"/>
      <c r="AWD14" s="170"/>
      <c r="AWE14" s="170"/>
      <c r="AWF14" s="112"/>
      <c r="AWG14" s="112"/>
      <c r="AWH14" s="169" t="s">
        <v>35</v>
      </c>
      <c r="AWI14" s="169"/>
      <c r="AWJ14" s="169"/>
      <c r="AWK14" s="169"/>
      <c r="AWL14" s="88"/>
      <c r="AWM14" s="88"/>
      <c r="AWN14" s="170" t="s">
        <v>24</v>
      </c>
      <c r="AWO14" s="170"/>
      <c r="AWP14" s="170"/>
      <c r="AWQ14" s="170"/>
      <c r="AWR14" s="112"/>
      <c r="AWS14" s="112"/>
      <c r="AWT14" s="169" t="s">
        <v>36</v>
      </c>
      <c r="AWU14" s="169"/>
      <c r="AWV14" s="169"/>
      <c r="AWW14" s="169"/>
      <c r="AWX14" s="88"/>
      <c r="AWY14" s="88"/>
      <c r="AWZ14" s="170" t="s">
        <v>25</v>
      </c>
      <c r="AXA14" s="170"/>
      <c r="AXB14" s="170"/>
      <c r="AXC14" s="170"/>
      <c r="AXD14" s="112"/>
      <c r="AXE14" s="112"/>
      <c r="AXF14" s="169" t="s">
        <v>37</v>
      </c>
      <c r="AXG14" s="169"/>
      <c r="AXH14" s="169"/>
      <c r="AXI14" s="169"/>
      <c r="AXJ14" s="88"/>
      <c r="AXK14" s="88"/>
      <c r="AXL14" s="170" t="s">
        <v>26</v>
      </c>
      <c r="AXM14" s="170"/>
      <c r="AXN14" s="170"/>
      <c r="AXO14" s="170"/>
      <c r="AXP14" s="112"/>
      <c r="AXQ14" s="112"/>
      <c r="AXR14" s="169" t="s">
        <v>38</v>
      </c>
      <c r="AXS14" s="169"/>
      <c r="AXT14" s="169"/>
      <c r="AXU14" s="169"/>
      <c r="AXV14" s="88"/>
      <c r="AXW14" s="88"/>
      <c r="AXX14" s="88"/>
      <c r="AXY14" s="89"/>
      <c r="AXZ14" s="87"/>
      <c r="AYA14" s="88"/>
      <c r="AYB14" s="88"/>
      <c r="AYC14" s="88"/>
      <c r="AYD14" s="169" t="s">
        <v>34</v>
      </c>
      <c r="AYE14" s="169"/>
      <c r="AYF14" s="169"/>
      <c r="AYG14" s="169"/>
      <c r="AYH14" s="88"/>
      <c r="AYI14" s="88"/>
      <c r="AYJ14" s="170" t="s">
        <v>23</v>
      </c>
      <c r="AYK14" s="170"/>
      <c r="AYL14" s="170"/>
      <c r="AYM14" s="170"/>
      <c r="AYN14" s="112"/>
      <c r="AYO14" s="112"/>
      <c r="AYP14" s="169" t="s">
        <v>35</v>
      </c>
      <c r="AYQ14" s="169"/>
      <c r="AYR14" s="169"/>
      <c r="AYS14" s="169"/>
      <c r="AYT14" s="88"/>
      <c r="AYU14" s="88"/>
      <c r="AYV14" s="170" t="s">
        <v>24</v>
      </c>
      <c r="AYW14" s="170"/>
      <c r="AYX14" s="170"/>
      <c r="AYY14" s="170"/>
      <c r="AYZ14" s="112"/>
      <c r="AZA14" s="112"/>
      <c r="AZB14" s="169" t="s">
        <v>36</v>
      </c>
      <c r="AZC14" s="169"/>
      <c r="AZD14" s="169"/>
      <c r="AZE14" s="169"/>
      <c r="AZF14" s="88"/>
      <c r="AZG14" s="88"/>
      <c r="AZH14" s="170" t="s">
        <v>25</v>
      </c>
      <c r="AZI14" s="170"/>
      <c r="AZJ14" s="170"/>
      <c r="AZK14" s="170"/>
      <c r="AZL14" s="112"/>
      <c r="AZM14" s="112"/>
      <c r="AZN14" s="169" t="s">
        <v>37</v>
      </c>
      <c r="AZO14" s="169"/>
      <c r="AZP14" s="169"/>
      <c r="AZQ14" s="169"/>
      <c r="AZR14" s="88"/>
      <c r="AZS14" s="88"/>
      <c r="AZT14" s="170" t="s">
        <v>26</v>
      </c>
      <c r="AZU14" s="170"/>
      <c r="AZV14" s="170"/>
      <c r="AZW14" s="170"/>
      <c r="AZX14" s="112"/>
      <c r="AZY14" s="112"/>
      <c r="AZZ14" s="169" t="s">
        <v>38</v>
      </c>
      <c r="BAA14" s="169"/>
      <c r="BAB14" s="169"/>
      <c r="BAC14" s="169"/>
      <c r="BAD14" s="88"/>
      <c r="BAE14" s="88"/>
      <c r="BAF14" s="88"/>
      <c r="BAG14" s="89"/>
      <c r="BAH14" s="87"/>
      <c r="BAI14" s="88"/>
      <c r="BAJ14" s="88"/>
      <c r="BAK14" s="88"/>
      <c r="BAL14" s="169" t="s">
        <v>34</v>
      </c>
      <c r="BAM14" s="169"/>
      <c r="BAN14" s="169"/>
      <c r="BAO14" s="169"/>
      <c r="BAP14" s="88"/>
      <c r="BAQ14" s="88"/>
      <c r="BAR14" s="170" t="s">
        <v>23</v>
      </c>
      <c r="BAS14" s="170"/>
      <c r="BAT14" s="170"/>
      <c r="BAU14" s="170"/>
      <c r="BAV14" s="112"/>
      <c r="BAW14" s="112"/>
      <c r="BAX14" s="169" t="s">
        <v>35</v>
      </c>
      <c r="BAY14" s="169"/>
      <c r="BAZ14" s="169"/>
      <c r="BBA14" s="169"/>
      <c r="BBB14" s="88"/>
      <c r="BBC14" s="88"/>
      <c r="BBD14" s="170" t="s">
        <v>24</v>
      </c>
      <c r="BBE14" s="170"/>
      <c r="BBF14" s="170"/>
      <c r="BBG14" s="170"/>
      <c r="BBH14" s="112"/>
      <c r="BBI14" s="112"/>
      <c r="BBJ14" s="169" t="s">
        <v>36</v>
      </c>
      <c r="BBK14" s="169"/>
      <c r="BBL14" s="169"/>
      <c r="BBM14" s="169"/>
      <c r="BBN14" s="88"/>
      <c r="BBO14" s="88"/>
      <c r="BBP14" s="170" t="s">
        <v>25</v>
      </c>
      <c r="BBQ14" s="170"/>
      <c r="BBR14" s="170"/>
      <c r="BBS14" s="170"/>
      <c r="BBT14" s="112"/>
      <c r="BBU14" s="112"/>
      <c r="BBV14" s="169" t="s">
        <v>37</v>
      </c>
      <c r="BBW14" s="169"/>
      <c r="BBX14" s="169"/>
      <c r="BBY14" s="169"/>
      <c r="BBZ14" s="88"/>
      <c r="BCA14" s="88"/>
      <c r="BCB14" s="170" t="s">
        <v>26</v>
      </c>
      <c r="BCC14" s="170"/>
      <c r="BCD14" s="170"/>
      <c r="BCE14" s="170"/>
      <c r="BCF14" s="112"/>
      <c r="BCG14" s="112"/>
      <c r="BCH14" s="169" t="s">
        <v>38</v>
      </c>
      <c r="BCI14" s="169"/>
      <c r="BCJ14" s="169"/>
      <c r="BCK14" s="169"/>
      <c r="BCL14" s="88"/>
      <c r="BCM14" s="88"/>
      <c r="BCN14" s="88"/>
      <c r="BCO14" s="89"/>
      <c r="BCP14" s="87"/>
      <c r="BCQ14" s="88"/>
      <c r="BCR14" s="88"/>
      <c r="BCS14" s="88"/>
      <c r="BCT14" s="169" t="s">
        <v>34</v>
      </c>
      <c r="BCU14" s="169"/>
      <c r="BCV14" s="169"/>
      <c r="BCW14" s="169"/>
      <c r="BCX14" s="88"/>
      <c r="BCY14" s="88"/>
      <c r="BCZ14" s="170" t="s">
        <v>23</v>
      </c>
      <c r="BDA14" s="170"/>
      <c r="BDB14" s="170"/>
      <c r="BDC14" s="170"/>
      <c r="BDD14" s="112"/>
      <c r="BDE14" s="112"/>
      <c r="BDF14" s="169" t="s">
        <v>35</v>
      </c>
      <c r="BDG14" s="169"/>
      <c r="BDH14" s="169"/>
      <c r="BDI14" s="169"/>
      <c r="BDJ14" s="88"/>
      <c r="BDK14" s="88"/>
      <c r="BDL14" s="170" t="s">
        <v>24</v>
      </c>
      <c r="BDM14" s="170"/>
      <c r="BDN14" s="170"/>
      <c r="BDO14" s="170"/>
      <c r="BDP14" s="112"/>
      <c r="BDQ14" s="112"/>
      <c r="BDR14" s="169" t="s">
        <v>36</v>
      </c>
      <c r="BDS14" s="169"/>
      <c r="BDT14" s="169"/>
      <c r="BDU14" s="169"/>
      <c r="BDV14" s="88"/>
      <c r="BDW14" s="88"/>
      <c r="BDX14" s="170" t="s">
        <v>25</v>
      </c>
      <c r="BDY14" s="170"/>
      <c r="BDZ14" s="170"/>
      <c r="BEA14" s="170"/>
      <c r="BEB14" s="112"/>
      <c r="BEC14" s="112"/>
      <c r="BED14" s="169" t="s">
        <v>37</v>
      </c>
      <c r="BEE14" s="169"/>
      <c r="BEF14" s="169"/>
      <c r="BEG14" s="169"/>
      <c r="BEH14" s="88"/>
      <c r="BEI14" s="88"/>
      <c r="BEJ14" s="170" t="s">
        <v>26</v>
      </c>
      <c r="BEK14" s="170"/>
      <c r="BEL14" s="170"/>
      <c r="BEM14" s="170"/>
      <c r="BEN14" s="112"/>
      <c r="BEO14" s="112"/>
      <c r="BEP14" s="169" t="s">
        <v>38</v>
      </c>
      <c r="BEQ14" s="169"/>
      <c r="BER14" s="169"/>
      <c r="BES14" s="169"/>
      <c r="BET14" s="88"/>
      <c r="BEU14" s="88"/>
      <c r="BEV14" s="88"/>
      <c r="BEW14" s="89"/>
      <c r="BEX14" s="75"/>
    </row>
    <row r="15" spans="1:1506" ht="20.100000000000001" customHeight="1" x14ac:dyDescent="0.25">
      <c r="A15" s="84" t="s">
        <v>19</v>
      </c>
      <c r="B15" s="53" t="str">
        <f>IF(LEN(C15)=0,"",C15)</f>
        <v xml:space="preserve">Absences - imprévus </v>
      </c>
      <c r="C15" s="175"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9"/>
      <c r="GE15" s="20"/>
      <c r="GF15" s="20"/>
      <c r="GG15" s="20"/>
      <c r="GH15" s="20"/>
      <c r="GI15" s="113"/>
      <c r="GJ15" s="20"/>
      <c r="GK15" s="20"/>
      <c r="GL15" s="20"/>
      <c r="GM15" s="20"/>
      <c r="GN15" s="20"/>
      <c r="GO15" s="118"/>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9"/>
      <c r="NC15" s="20"/>
      <c r="ND15" s="20"/>
      <c r="NE15" s="20"/>
      <c r="NF15" s="20"/>
      <c r="NG15" s="113"/>
      <c r="NH15" s="20"/>
      <c r="NI15" s="20"/>
      <c r="NJ15" s="20"/>
      <c r="NK15" s="20"/>
      <c r="NL15" s="20"/>
      <c r="NM15" s="118"/>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75"/>
    </row>
    <row r="16" spans="1:1506" ht="20.100000000000001" customHeight="1" x14ac:dyDescent="0.25">
      <c r="A16" s="84" t="s">
        <v>20</v>
      </c>
      <c r="B16" s="53" t="str">
        <f>IF(LEN(C17)=0,"",C17)</f>
        <v>Analyse - Planification initiale</v>
      </c>
      <c r="C16" s="176"/>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75"/>
    </row>
    <row r="17" spans="1:1506" ht="20.100000000000001" customHeight="1" x14ac:dyDescent="0.25">
      <c r="A17" s="84" t="s">
        <v>19</v>
      </c>
      <c r="B17" s="53" t="str">
        <f>IF(LEN(C19)=0,"",C19)</f>
        <v>Analyse - Reflexions</v>
      </c>
      <c r="C17" s="175" t="s">
        <v>31</v>
      </c>
      <c r="D17" s="129" t="str">
        <f t="shared" si="0"/>
        <v>7h</v>
      </c>
      <c r="E17" s="26">
        <v>84</v>
      </c>
      <c r="F17" s="148"/>
      <c r="G17" s="149"/>
      <c r="H17" s="149"/>
      <c r="I17" s="149"/>
      <c r="J17" s="149"/>
      <c r="K17" s="150"/>
      <c r="L17" s="149"/>
      <c r="M17" s="149"/>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149"/>
      <c r="CN17" s="149"/>
      <c r="CO17" s="149"/>
      <c r="CP17" s="149"/>
      <c r="CQ17" s="152"/>
      <c r="CR17" s="149"/>
      <c r="CS17" s="149"/>
      <c r="CT17" s="149"/>
      <c r="CU17" s="149"/>
      <c r="CV17" s="149"/>
      <c r="CW17" s="151"/>
      <c r="CX17" s="149"/>
      <c r="CY17" s="149"/>
      <c r="CZ17" s="149"/>
      <c r="DA17" s="149"/>
      <c r="DB17" s="149"/>
      <c r="DC17" s="152"/>
      <c r="DD17" s="149"/>
      <c r="DE17" s="149"/>
      <c r="DF17" s="149"/>
      <c r="DG17" s="149"/>
      <c r="DH17" s="149"/>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75"/>
    </row>
    <row r="18" spans="1:1506" ht="20.100000000000001" customHeight="1" x14ac:dyDescent="0.3">
      <c r="A18" s="84" t="s">
        <v>20</v>
      </c>
      <c r="B18" s="53" t="str">
        <f>IF(LEN(C21)=0,"",C21)</f>
        <v>Analyse - Conception de l'api Flask</v>
      </c>
      <c r="C18" s="176"/>
      <c r="D18" s="131"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75"/>
    </row>
    <row r="19" spans="1:1506" ht="20.100000000000001" customHeight="1" x14ac:dyDescent="0.25">
      <c r="A19" s="84" t="s">
        <v>19</v>
      </c>
      <c r="B19" s="53" t="str">
        <f>IF(LEN(C23)=0,"",C23)</f>
        <v>Doc - Journal de travail</v>
      </c>
      <c r="C19" s="175" t="s">
        <v>42</v>
      </c>
      <c r="D19" s="129" t="str">
        <f t="shared" si="0"/>
        <v>0h30min</v>
      </c>
      <c r="E19" s="34">
        <v>6</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154"/>
      <c r="EC19" s="154"/>
      <c r="ED19" s="154"/>
      <c r="EE19" s="154"/>
      <c r="EF19" s="154"/>
      <c r="EG19" s="153"/>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36"/>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36"/>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22"/>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36"/>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22"/>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36"/>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22"/>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36"/>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36"/>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22"/>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36"/>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22"/>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36"/>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22"/>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36"/>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22"/>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36"/>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36"/>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22"/>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36"/>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22"/>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36"/>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75"/>
    </row>
    <row r="20" spans="1:1506" ht="20.100000000000001" customHeight="1" x14ac:dyDescent="0.25">
      <c r="A20" s="84" t="s">
        <v>20</v>
      </c>
      <c r="B20" s="53" t="str">
        <f>IF(LEN(C25)=0,"",C25)</f>
        <v>Doc - Rapport</v>
      </c>
      <c r="C20" s="177"/>
      <c r="D20" s="130"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75"/>
    </row>
    <row r="21" spans="1:1506" ht="20.100000000000001" customHeight="1" x14ac:dyDescent="0.25">
      <c r="A21" s="84" t="s">
        <v>19</v>
      </c>
      <c r="B21" s="53" t="str">
        <f>IF(LEN(C27)=0,"",C27)</f>
        <v>Doc - Shémas</v>
      </c>
      <c r="C21" s="175" t="s">
        <v>43</v>
      </c>
      <c r="D21" s="129" t="str">
        <f t="shared" si="0"/>
        <v>1h</v>
      </c>
      <c r="E21" s="26">
        <v>12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51"/>
      <c r="HN21" s="149"/>
      <c r="HO21" s="149"/>
      <c r="HP21" s="149"/>
      <c r="HQ21" s="149"/>
      <c r="HR21" s="149"/>
      <c r="HS21" s="152"/>
      <c r="HT21" s="149"/>
      <c r="HU21" s="149"/>
      <c r="HV21" s="149"/>
      <c r="HW21" s="149"/>
      <c r="HX21" s="149"/>
      <c r="HY21" s="120"/>
      <c r="HZ21" s="28"/>
      <c r="IA21" s="28"/>
      <c r="IB21" s="28"/>
      <c r="IC21" s="28"/>
      <c r="ID21" s="28"/>
      <c r="IE21" s="59"/>
      <c r="IF21" s="28"/>
      <c r="IG21" s="28"/>
      <c r="IH21" s="28"/>
      <c r="II21" s="28"/>
      <c r="IJ21" s="28"/>
      <c r="IK21" s="29"/>
      <c r="IL21" s="27"/>
      <c r="IM21" s="28"/>
      <c r="IN21" s="28"/>
      <c r="IO21" s="28"/>
      <c r="IP21" s="28"/>
      <c r="IQ21" s="115"/>
      <c r="IR21" s="28"/>
      <c r="IS21" s="28"/>
      <c r="IT21" s="28"/>
      <c r="IU21" s="28"/>
      <c r="IV21" s="28"/>
      <c r="IW21" s="120"/>
      <c r="IX21" s="28"/>
      <c r="IY21" s="28"/>
      <c r="IZ21" s="28"/>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28"/>
      <c r="QI21" s="28"/>
      <c r="QJ21" s="28"/>
      <c r="QK21" s="28"/>
      <c r="QL21" s="28"/>
      <c r="QM21" s="59"/>
      <c r="QN21" s="28"/>
      <c r="QO21" s="28"/>
      <c r="QP21" s="28"/>
      <c r="QQ21" s="28"/>
      <c r="QR21" s="28"/>
      <c r="QS21" s="120"/>
      <c r="QT21" s="28"/>
      <c r="QU21" s="28"/>
      <c r="QV21" s="28"/>
      <c r="QW21" s="28"/>
      <c r="QX21" s="28"/>
      <c r="QY21" s="59"/>
      <c r="QZ21" s="28"/>
      <c r="RA21" s="28"/>
      <c r="RB21" s="28"/>
      <c r="RC21" s="28"/>
      <c r="RD21" s="28"/>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28"/>
      <c r="YY21" s="28"/>
      <c r="YZ21" s="28"/>
      <c r="ZA21" s="120"/>
      <c r="ZB21" s="28"/>
      <c r="ZC21" s="28"/>
      <c r="ZD21" s="28"/>
      <c r="ZE21" s="28"/>
      <c r="ZF21" s="28"/>
      <c r="ZG21" s="59"/>
      <c r="ZH21" s="28"/>
      <c r="ZI21" s="28"/>
      <c r="ZJ21" s="28"/>
      <c r="ZK21" s="28"/>
      <c r="ZL21" s="28"/>
      <c r="ZM21" s="120"/>
      <c r="ZN21" s="28"/>
      <c r="ZO21" s="28"/>
      <c r="ZP21" s="28"/>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28"/>
      <c r="AGA21" s="28"/>
      <c r="AGB21" s="28"/>
      <c r="AGC21" s="28"/>
      <c r="AGD21" s="28"/>
      <c r="AGE21" s="59"/>
      <c r="AGF21" s="28"/>
      <c r="AGG21" s="28"/>
      <c r="AGH21" s="28"/>
      <c r="AGI21" s="28"/>
      <c r="AGJ21" s="28"/>
      <c r="AGK21" s="120"/>
      <c r="AGL21" s="28"/>
      <c r="AGM21" s="28"/>
      <c r="AGN21" s="28"/>
      <c r="AGO21" s="28"/>
      <c r="AGP21" s="28"/>
      <c r="AGQ21" s="59"/>
      <c r="AGR21" s="28"/>
      <c r="AGS21" s="28"/>
      <c r="AGT21" s="28"/>
      <c r="AGU21" s="28"/>
      <c r="AGV21" s="28"/>
      <c r="AGW21" s="120"/>
      <c r="AGX21" s="28"/>
      <c r="AGY21" s="28"/>
      <c r="AGZ21" s="28"/>
      <c r="AHA21" s="28"/>
      <c r="AHB21" s="28"/>
      <c r="AHC21" s="59"/>
      <c r="AHD21" s="28"/>
      <c r="AHE21" s="28"/>
      <c r="AHF21" s="28"/>
      <c r="AHG21" s="28"/>
      <c r="AHH21" s="28"/>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28"/>
      <c r="AIO21" s="28"/>
      <c r="AIP21" s="28"/>
      <c r="AIQ21" s="28"/>
      <c r="AIR21" s="28"/>
      <c r="AIS21" s="120"/>
      <c r="AIT21" s="28"/>
      <c r="AIU21" s="28"/>
      <c r="AIV21" s="28"/>
      <c r="AIW21" s="28"/>
      <c r="AIX21" s="28"/>
      <c r="AIY21" s="59"/>
      <c r="AIZ21" s="28"/>
      <c r="AJA21" s="28"/>
      <c r="AJB21" s="28"/>
      <c r="AJC21" s="28"/>
      <c r="AJD21" s="28"/>
      <c r="AJE21" s="120"/>
      <c r="AJF21" s="28"/>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27"/>
      <c r="ATK21" s="28"/>
      <c r="ATL21" s="28"/>
      <c r="ATM21" s="28"/>
      <c r="ATN21" s="28"/>
      <c r="ATO21" s="115"/>
      <c r="ATP21" s="28"/>
      <c r="ATQ21" s="28"/>
      <c r="ATR21" s="28"/>
      <c r="ATS21" s="28"/>
      <c r="ATT21" s="28"/>
      <c r="ATU21" s="120"/>
      <c r="ATV21" s="28"/>
      <c r="ATW21" s="28"/>
      <c r="ATX21" s="28"/>
      <c r="ATY21" s="28"/>
      <c r="ATZ21" s="28"/>
      <c r="AUA21" s="59"/>
      <c r="AUB21" s="28"/>
      <c r="AUC21" s="28"/>
      <c r="AUD21" s="28"/>
      <c r="AUE21" s="28"/>
      <c r="AUF21" s="28"/>
      <c r="AUG21" s="120"/>
      <c r="AUH21" s="28"/>
      <c r="AUI21" s="28"/>
      <c r="AUJ21" s="28"/>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27"/>
      <c r="AVS21" s="28"/>
      <c r="AVT21" s="28"/>
      <c r="AVU21" s="28"/>
      <c r="AVV21" s="28"/>
      <c r="AVW21" s="115"/>
      <c r="AVX21" s="28"/>
      <c r="AVY21" s="28"/>
      <c r="AVZ21" s="28"/>
      <c r="AWA21" s="28"/>
      <c r="AWB21" s="28"/>
      <c r="AWC21" s="120"/>
      <c r="AWD21" s="28"/>
      <c r="AWE21" s="28"/>
      <c r="AWF21" s="28"/>
      <c r="AWG21" s="28"/>
      <c r="AWH21" s="28"/>
      <c r="AWI21" s="59"/>
      <c r="AWJ21" s="28"/>
      <c r="AWK21" s="28"/>
      <c r="AWL21" s="28"/>
      <c r="AWM21" s="28"/>
      <c r="AWN21" s="28"/>
      <c r="AWO21" s="120"/>
      <c r="AWP21" s="28"/>
      <c r="AWQ21" s="28"/>
      <c r="AWR21" s="28"/>
      <c r="AWS21" s="28"/>
      <c r="AWT21" s="28"/>
      <c r="AWU21" s="59"/>
      <c r="AWV21" s="28"/>
      <c r="AWW21" s="28"/>
      <c r="AWX21" s="28"/>
      <c r="AWY21" s="28"/>
      <c r="AWZ21" s="28"/>
      <c r="AXA21" s="120"/>
      <c r="AXB21" s="28"/>
      <c r="AXC21" s="28"/>
      <c r="AXD21" s="28"/>
      <c r="AXE21" s="28"/>
      <c r="AXF21" s="28"/>
      <c r="AXG21" s="59"/>
      <c r="AXH21" s="28"/>
      <c r="AXI21" s="28"/>
      <c r="AXJ21" s="28"/>
      <c r="AXK21" s="28"/>
      <c r="AXL21" s="28"/>
      <c r="AXM21" s="120"/>
      <c r="AXN21" s="28"/>
      <c r="AXO21" s="28"/>
      <c r="AXP21" s="28"/>
      <c r="AXQ21" s="28"/>
      <c r="AXR21" s="28"/>
      <c r="AXS21" s="59"/>
      <c r="AXT21" s="28"/>
      <c r="AXU21" s="28"/>
      <c r="AXV21" s="28"/>
      <c r="AXW21" s="28"/>
      <c r="AXX21" s="28"/>
      <c r="AXY21" s="29"/>
      <c r="AXZ21" s="27"/>
      <c r="AYA21" s="28"/>
      <c r="AYB21" s="28"/>
      <c r="AYC21" s="28"/>
      <c r="AYD21" s="28"/>
      <c r="AYE21" s="115"/>
      <c r="AYF21" s="28"/>
      <c r="AYG21" s="28"/>
      <c r="AYH21" s="28"/>
      <c r="AYI21" s="28"/>
      <c r="AYJ21" s="28"/>
      <c r="AYK21" s="120"/>
      <c r="AYL21" s="28"/>
      <c r="AYM21" s="28"/>
      <c r="AYN21" s="28"/>
      <c r="AYO21" s="28"/>
      <c r="AYP21" s="28"/>
      <c r="AYQ21" s="59"/>
      <c r="AYR21" s="28"/>
      <c r="AYS21" s="28"/>
      <c r="AYT21" s="28"/>
      <c r="AYU21" s="28"/>
      <c r="AYV21" s="28"/>
      <c r="AYW21" s="120"/>
      <c r="AYX21" s="28"/>
      <c r="AYY21" s="28"/>
      <c r="AYZ21" s="28"/>
      <c r="AZA21" s="28"/>
      <c r="AZB21" s="28"/>
      <c r="AZC21" s="59"/>
      <c r="AZD21" s="28"/>
      <c r="AZE21" s="28"/>
      <c r="AZF21" s="28"/>
      <c r="AZG21" s="28"/>
      <c r="AZH21" s="28"/>
      <c r="AZI21" s="120"/>
      <c r="AZJ21" s="28"/>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27"/>
      <c r="BAI21" s="28"/>
      <c r="BAJ21" s="28"/>
      <c r="BAK21" s="28"/>
      <c r="BAL21" s="28"/>
      <c r="BAM21" s="115"/>
      <c r="BAN21" s="28"/>
      <c r="BAO21" s="28"/>
      <c r="BAP21" s="28"/>
      <c r="BAQ21" s="28"/>
      <c r="BAR21" s="28"/>
      <c r="BAS21" s="120"/>
      <c r="BAT21" s="28"/>
      <c r="BAU21" s="28"/>
      <c r="BAV21" s="28"/>
      <c r="BAW21" s="28"/>
      <c r="BAX21" s="28"/>
      <c r="BAY21" s="59"/>
      <c r="BAZ21" s="28"/>
      <c r="BBA21" s="28"/>
      <c r="BBB21" s="28"/>
      <c r="BBC21" s="28"/>
      <c r="BBD21" s="28"/>
      <c r="BBE21" s="120"/>
      <c r="BBF21" s="28"/>
      <c r="BBG21" s="28"/>
      <c r="BBH21" s="28"/>
      <c r="BBI21" s="28"/>
      <c r="BBJ21" s="28"/>
      <c r="BBK21" s="59"/>
      <c r="BBL21" s="28"/>
      <c r="BBM21" s="28"/>
      <c r="BBN21" s="28"/>
      <c r="BBO21" s="28"/>
      <c r="BBP21" s="28"/>
      <c r="BBQ21" s="120"/>
      <c r="BBR21" s="28"/>
      <c r="BBS21" s="28"/>
      <c r="BBT21" s="28"/>
      <c r="BBU21" s="28"/>
      <c r="BBV21" s="28"/>
      <c r="BBW21" s="59"/>
      <c r="BBX21" s="28"/>
      <c r="BBY21" s="28"/>
      <c r="BBZ21" s="28"/>
      <c r="BCA21" s="28"/>
      <c r="BCB21" s="28"/>
      <c r="BCC21" s="120"/>
      <c r="BCD21" s="28"/>
      <c r="BCE21" s="28"/>
      <c r="BCF21" s="28"/>
      <c r="BCG21" s="28"/>
      <c r="BCH21" s="28"/>
      <c r="BCI21" s="59"/>
      <c r="BCJ21" s="28"/>
      <c r="BCK21" s="28"/>
      <c r="BCL21" s="28"/>
      <c r="BCM21" s="28"/>
      <c r="BCN21" s="28"/>
      <c r="BCO21" s="29"/>
      <c r="BCP21" s="27"/>
      <c r="BCQ21" s="28"/>
      <c r="BCR21" s="28"/>
      <c r="BCS21" s="28"/>
      <c r="BCT21" s="28"/>
      <c r="BCU21" s="115"/>
      <c r="BCV21" s="28"/>
      <c r="BCW21" s="28"/>
      <c r="BCX21" s="28"/>
      <c r="BCY21" s="28"/>
      <c r="BCZ21" s="28"/>
      <c r="BDA21" s="120"/>
      <c r="BDB21" s="28"/>
      <c r="BDC21" s="28"/>
      <c r="BDD21" s="28"/>
      <c r="BDE21" s="28"/>
      <c r="BDF21" s="28"/>
      <c r="BDG21" s="59"/>
      <c r="BDH21" s="28"/>
      <c r="BDI21" s="28"/>
      <c r="BDJ21" s="28"/>
      <c r="BDK21" s="28"/>
      <c r="BDL21" s="28"/>
      <c r="BDM21" s="120"/>
      <c r="BDN21" s="28"/>
      <c r="BDO21" s="28"/>
      <c r="BDP21" s="28"/>
      <c r="BDQ21" s="28"/>
      <c r="BDR21" s="28"/>
      <c r="BDS21" s="59"/>
      <c r="BDT21" s="28"/>
      <c r="BDU21" s="28"/>
      <c r="BDV21" s="28"/>
      <c r="BDW21" s="28"/>
      <c r="BDX21" s="28"/>
      <c r="BDY21" s="120"/>
      <c r="BDZ21" s="28"/>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75"/>
    </row>
    <row r="22" spans="1:1506" ht="20.100000000000001" customHeight="1" x14ac:dyDescent="0.25">
      <c r="A22" s="84" t="s">
        <v>20</v>
      </c>
      <c r="B22" s="53" t="str">
        <f>IF(LEN(C29)=0,"",C29)</f>
        <v>Implémentation - Configuration de l'environnement</v>
      </c>
      <c r="C22" s="177"/>
      <c r="D22" s="130"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75"/>
    </row>
    <row r="23" spans="1:1506" ht="20.100000000000001" customHeight="1" x14ac:dyDescent="0.25">
      <c r="A23" s="84" t="s">
        <v>19</v>
      </c>
      <c r="B23" s="53" t="str">
        <f>IF(LEN(C31)=0,"",C31)</f>
        <v>Implémentation - Base de données</v>
      </c>
      <c r="C23" s="175" t="s">
        <v>16</v>
      </c>
      <c r="D23" s="129" t="str">
        <f t="shared" si="0"/>
        <v>2h5min</v>
      </c>
      <c r="E23" s="34">
        <v>25</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154"/>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53"/>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154"/>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53"/>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36"/>
      <c r="JB23" s="36"/>
      <c r="JC23" s="61"/>
      <c r="JD23" s="36"/>
      <c r="JE23" s="36"/>
      <c r="JF23" s="36"/>
      <c r="JG23" s="36"/>
      <c r="JH23" s="36"/>
      <c r="JI23" s="122"/>
      <c r="JJ23" s="36"/>
      <c r="JK23" s="36"/>
      <c r="JL23" s="36"/>
      <c r="JM23" s="154"/>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36"/>
      <c r="MA23" s="36"/>
      <c r="MB23" s="36"/>
      <c r="MC23" s="122"/>
      <c r="MD23" s="36"/>
      <c r="ME23" s="154"/>
      <c r="MF23" s="36"/>
      <c r="MG23" s="36"/>
      <c r="MH23" s="36"/>
      <c r="MI23" s="61"/>
      <c r="MJ23" s="36"/>
      <c r="MK23" s="36"/>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36"/>
      <c r="NO23" s="36"/>
      <c r="NP23" s="36"/>
      <c r="NQ23" s="36"/>
      <c r="NR23" s="36"/>
      <c r="NS23" s="61"/>
      <c r="NT23" s="36"/>
      <c r="NU23" s="36"/>
      <c r="NV23" s="36"/>
      <c r="NW23" s="36"/>
      <c r="NX23" s="36"/>
      <c r="NY23" s="122"/>
      <c r="NZ23" s="36"/>
      <c r="OA23" s="36"/>
      <c r="OB23" s="36"/>
      <c r="OC23" s="36"/>
      <c r="OD23" s="36"/>
      <c r="OE23" s="61"/>
      <c r="OF23" s="36"/>
      <c r="OG23" s="36"/>
      <c r="OH23" s="36"/>
      <c r="OI23" s="36"/>
      <c r="OJ23" s="36"/>
      <c r="OK23" s="122"/>
      <c r="OL23" s="36"/>
      <c r="OM23" s="154"/>
      <c r="ON23" s="36"/>
      <c r="OO23" s="36"/>
      <c r="OP23" s="36"/>
      <c r="OQ23" s="61"/>
      <c r="OR23" s="36"/>
      <c r="OS23" s="36"/>
      <c r="OT23" s="36"/>
      <c r="OU23" s="36"/>
      <c r="OV23" s="36"/>
      <c r="OW23" s="122"/>
      <c r="OX23" s="36"/>
      <c r="OY23" s="36"/>
      <c r="OZ23" s="36"/>
      <c r="PA23" s="36"/>
      <c r="PB23" s="36"/>
      <c r="PC23" s="61"/>
      <c r="PD23" s="36"/>
      <c r="PE23" s="36"/>
      <c r="PF23" s="36"/>
      <c r="PG23" s="36"/>
      <c r="PH23" s="36"/>
      <c r="PI23" s="37"/>
      <c r="PJ23" s="35"/>
      <c r="PK23" s="36"/>
      <c r="PL23" s="36"/>
      <c r="PM23" s="36"/>
      <c r="PN23" s="36"/>
      <c r="PO23" s="117"/>
      <c r="PP23" s="36"/>
      <c r="PQ23" s="36"/>
      <c r="PR23" s="36"/>
      <c r="PS23" s="36"/>
      <c r="PT23" s="36"/>
      <c r="PU23" s="122"/>
      <c r="PV23" s="36"/>
      <c r="PW23" s="36"/>
      <c r="PX23" s="36"/>
      <c r="PY23" s="36"/>
      <c r="PZ23" s="36"/>
      <c r="QA23" s="61"/>
      <c r="QB23" s="36"/>
      <c r="QC23" s="36"/>
      <c r="QD23" s="36"/>
      <c r="QE23" s="36"/>
      <c r="QF23" s="36"/>
      <c r="QG23" s="122"/>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53"/>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154"/>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154"/>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154"/>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154"/>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36"/>
      <c r="ABQ23" s="36"/>
      <c r="ABR23" s="36"/>
      <c r="ABS23" s="36"/>
      <c r="ABT23" s="36"/>
      <c r="ABU23" s="122"/>
      <c r="ABV23" s="36"/>
      <c r="ABW23" s="36"/>
      <c r="ABX23" s="36"/>
      <c r="ABY23" s="36"/>
      <c r="ABZ23" s="36"/>
      <c r="ACA23" s="61"/>
      <c r="ACB23" s="36"/>
      <c r="ACC23" s="36"/>
      <c r="ACD23" s="36"/>
      <c r="ACE23" s="36"/>
      <c r="ACF23" s="36"/>
      <c r="ACG23" s="122"/>
      <c r="ACH23" s="36"/>
      <c r="ACI23" s="36"/>
      <c r="ACJ23" s="36"/>
      <c r="ACK23" s="36"/>
      <c r="ACL23" s="36"/>
      <c r="ACM23" s="61"/>
      <c r="ACN23" s="36"/>
      <c r="ACO23" s="36"/>
      <c r="ACP23" s="36"/>
      <c r="ACQ23" s="36"/>
      <c r="ACR23" s="36"/>
      <c r="ACS23" s="153"/>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154"/>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154"/>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154"/>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154"/>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53"/>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154"/>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154"/>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154"/>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154"/>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53"/>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154"/>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53"/>
      <c r="BEL23" s="36"/>
      <c r="BEM23" s="36"/>
      <c r="BEN23" s="36"/>
      <c r="BEO23" s="36"/>
      <c r="BEP23" s="36"/>
      <c r="BEQ23" s="61"/>
      <c r="BER23" s="36"/>
      <c r="BES23" s="36"/>
      <c r="BET23" s="36"/>
      <c r="BEU23" s="36"/>
      <c r="BEV23" s="36"/>
      <c r="BEW23" s="37"/>
      <c r="BEX23" s="75"/>
    </row>
    <row r="24" spans="1:1506" ht="20.100000000000001" customHeight="1" x14ac:dyDescent="0.25">
      <c r="A24" s="84" t="s">
        <v>20</v>
      </c>
      <c r="B24" s="53" t="str">
        <f>IF(LEN(C33)=0,"",C33)</f>
        <v>Implémentation - Réalisation du front-end</v>
      </c>
      <c r="C24" s="177"/>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75"/>
    </row>
    <row r="25" spans="1:1506" ht="20.100000000000001" customHeight="1" x14ac:dyDescent="0.25">
      <c r="A25" s="84" t="s">
        <v>19</v>
      </c>
      <c r="B25" s="53" t="str">
        <f>IF(LEN(C35)=0,"",C35)</f>
        <v>Implémentation - Réalisation du back-end</v>
      </c>
      <c r="C25" s="175" t="s">
        <v>15</v>
      </c>
      <c r="D25" s="129" t="str">
        <f t="shared" si="0"/>
        <v>20h30min</v>
      </c>
      <c r="E25" s="26">
        <v>246</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148"/>
      <c r="DW25" s="149"/>
      <c r="DX25" s="149"/>
      <c r="DY25" s="149"/>
      <c r="DZ25" s="149"/>
      <c r="EA25" s="150"/>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149"/>
      <c r="JB25" s="149"/>
      <c r="JC25" s="152"/>
      <c r="JD25" s="149"/>
      <c r="JE25" s="149"/>
      <c r="JF25" s="149"/>
      <c r="JG25" s="149"/>
      <c r="JH25" s="149"/>
      <c r="JI25" s="151"/>
      <c r="JJ25" s="149"/>
      <c r="JK25" s="149"/>
      <c r="JL25" s="149"/>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27"/>
      <c r="KU25" s="28"/>
      <c r="KV25" s="28"/>
      <c r="KW25" s="28"/>
      <c r="KX25" s="28"/>
      <c r="KY25" s="115"/>
      <c r="KZ25" s="28"/>
      <c r="LA25" s="28"/>
      <c r="LB25" s="28"/>
      <c r="LC25" s="28"/>
      <c r="LD25" s="28"/>
      <c r="LE25" s="120"/>
      <c r="LF25" s="28"/>
      <c r="LG25" s="28"/>
      <c r="LH25" s="28"/>
      <c r="LI25" s="28"/>
      <c r="LJ25" s="28"/>
      <c r="LK25" s="59"/>
      <c r="LL25" s="28"/>
      <c r="LM25" s="28"/>
      <c r="LN25" s="28"/>
      <c r="LO25" s="28"/>
      <c r="LP25" s="28"/>
      <c r="LQ25" s="120"/>
      <c r="LR25" s="28"/>
      <c r="LS25" s="28"/>
      <c r="LT25" s="28"/>
      <c r="LU25" s="28"/>
      <c r="LV25" s="28"/>
      <c r="LW25" s="59"/>
      <c r="LX25" s="28"/>
      <c r="LY25" s="28"/>
      <c r="LZ25" s="28"/>
      <c r="MA25" s="28"/>
      <c r="MB25" s="28"/>
      <c r="MC25" s="120"/>
      <c r="MD25" s="28"/>
      <c r="ME25" s="28"/>
      <c r="MF25" s="28"/>
      <c r="MG25" s="28"/>
      <c r="MH25" s="28"/>
      <c r="MI25" s="59"/>
      <c r="MJ25" s="28"/>
      <c r="MK25" s="28"/>
      <c r="ML25" s="28"/>
      <c r="MM25" s="28"/>
      <c r="MN25" s="28"/>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149"/>
      <c r="OB25" s="149"/>
      <c r="OC25" s="149"/>
      <c r="OD25" s="149"/>
      <c r="OE25" s="152"/>
      <c r="OF25" s="149"/>
      <c r="OG25" s="149"/>
      <c r="OH25" s="149"/>
      <c r="OI25" s="149"/>
      <c r="OJ25" s="149"/>
      <c r="OK25" s="151"/>
      <c r="OL25" s="149"/>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149"/>
      <c r="SH25" s="149"/>
      <c r="SI25" s="152"/>
      <c r="SJ25" s="149"/>
      <c r="SK25" s="149"/>
      <c r="SL25" s="149"/>
      <c r="SM25" s="149"/>
      <c r="SN25" s="149"/>
      <c r="SO25" s="151"/>
      <c r="SP25" s="149"/>
      <c r="SQ25" s="149"/>
      <c r="SR25" s="149"/>
      <c r="SS25" s="28"/>
      <c r="ST25" s="28"/>
      <c r="SU25" s="59"/>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27"/>
      <c r="UA25" s="28"/>
      <c r="UB25" s="28"/>
      <c r="UC25" s="28"/>
      <c r="UD25" s="28"/>
      <c r="UE25" s="115"/>
      <c r="UF25" s="28"/>
      <c r="UG25" s="28"/>
      <c r="UH25" s="28"/>
      <c r="UI25" s="28"/>
      <c r="UJ25" s="28"/>
      <c r="UK25" s="120"/>
      <c r="UL25" s="28"/>
      <c r="UM25" s="28"/>
      <c r="UN25" s="28"/>
      <c r="UO25" s="28"/>
      <c r="UP25" s="28"/>
      <c r="UQ25" s="59"/>
      <c r="UR25" s="28"/>
      <c r="US25" s="28"/>
      <c r="UT25" s="28"/>
      <c r="UU25" s="28"/>
      <c r="UV25" s="28"/>
      <c r="UW25" s="120"/>
      <c r="UX25" s="28"/>
      <c r="UY25" s="28"/>
      <c r="UZ25" s="28"/>
      <c r="VA25" s="28"/>
      <c r="VB25" s="28"/>
      <c r="VC25" s="59"/>
      <c r="VD25" s="28"/>
      <c r="VE25" s="28"/>
      <c r="VF25" s="28"/>
      <c r="VG25" s="28"/>
      <c r="VH25" s="28"/>
      <c r="VI25" s="120"/>
      <c r="VJ25" s="28"/>
      <c r="VK25" s="28"/>
      <c r="VL25" s="28"/>
      <c r="VM25" s="28"/>
      <c r="VN25" s="28"/>
      <c r="VO25" s="59"/>
      <c r="VP25" s="28"/>
      <c r="VQ25" s="28"/>
      <c r="VR25" s="28"/>
      <c r="VS25" s="28"/>
      <c r="VT25" s="28"/>
      <c r="VU25" s="120"/>
      <c r="VV25" s="28"/>
      <c r="VW25" s="28"/>
      <c r="VX25" s="28"/>
      <c r="VY25" s="28"/>
      <c r="VZ25" s="28"/>
      <c r="WA25" s="59"/>
      <c r="WB25" s="28"/>
      <c r="WC25" s="28"/>
      <c r="WD25" s="28"/>
      <c r="WE25" s="28"/>
      <c r="WF25" s="28"/>
      <c r="WG25" s="29"/>
      <c r="WH25" s="27"/>
      <c r="WI25" s="28"/>
      <c r="WJ25" s="28"/>
      <c r="WK25" s="28"/>
      <c r="WL25" s="28"/>
      <c r="WM25" s="115"/>
      <c r="WN25" s="28"/>
      <c r="WO25" s="28"/>
      <c r="WP25" s="28"/>
      <c r="WQ25" s="28"/>
      <c r="WR25" s="28"/>
      <c r="WS25" s="120"/>
      <c r="WT25" s="28"/>
      <c r="WU25" s="28"/>
      <c r="WV25" s="28"/>
      <c r="WW25" s="28"/>
      <c r="WX25" s="28"/>
      <c r="WY25" s="59"/>
      <c r="WZ25" s="28"/>
      <c r="XA25" s="28"/>
      <c r="XB25" s="28"/>
      <c r="XC25" s="28"/>
      <c r="XD25" s="28"/>
      <c r="XE25" s="120"/>
      <c r="XF25" s="28"/>
      <c r="XG25" s="149"/>
      <c r="XH25" s="149"/>
      <c r="XI25" s="149"/>
      <c r="XJ25" s="149"/>
      <c r="XK25" s="152"/>
      <c r="XL25" s="149"/>
      <c r="XM25" s="149"/>
      <c r="XN25" s="149"/>
      <c r="XO25" s="149"/>
      <c r="XP25" s="149"/>
      <c r="XQ25" s="151"/>
      <c r="XR25" s="149"/>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27"/>
      <c r="AAY25" s="28"/>
      <c r="AAZ25" s="28"/>
      <c r="ABA25" s="28"/>
      <c r="ABB25" s="28"/>
      <c r="ABC25" s="115"/>
      <c r="ABD25" s="28"/>
      <c r="ABE25" s="28"/>
      <c r="ABF25" s="28"/>
      <c r="ABG25" s="28"/>
      <c r="ABH25" s="28"/>
      <c r="ABI25" s="120"/>
      <c r="ABJ25" s="28"/>
      <c r="ABK25" s="28"/>
      <c r="ABL25" s="28"/>
      <c r="ABM25" s="28"/>
      <c r="ABN25" s="28"/>
      <c r="ABO25" s="59"/>
      <c r="ABP25" s="28"/>
      <c r="ABQ25" s="28"/>
      <c r="ABR25" s="28"/>
      <c r="ABS25" s="28"/>
      <c r="ABT25" s="28"/>
      <c r="ABU25" s="120"/>
      <c r="ABV25" s="28"/>
      <c r="ABW25" s="28"/>
      <c r="ABX25" s="28"/>
      <c r="ABY25" s="28"/>
      <c r="ABZ25" s="28"/>
      <c r="ACA25" s="59"/>
      <c r="ACB25" s="28"/>
      <c r="ACC25" s="28"/>
      <c r="ACD25" s="28"/>
      <c r="ACE25" s="28"/>
      <c r="ACF25" s="28"/>
      <c r="ACG25" s="120"/>
      <c r="ACH25" s="28"/>
      <c r="ACI25" s="28"/>
      <c r="ACJ25" s="28"/>
      <c r="ACK25" s="28"/>
      <c r="ACL25" s="28"/>
      <c r="ACM25" s="59"/>
      <c r="ACN25" s="28"/>
      <c r="ACO25" s="28"/>
      <c r="ACP25" s="28"/>
      <c r="ACQ25" s="28"/>
      <c r="ACR25" s="28"/>
      <c r="ACS25" s="120"/>
      <c r="ACT25" s="28"/>
      <c r="ACU25" s="28"/>
      <c r="ACV25" s="28"/>
      <c r="ACW25" s="28"/>
      <c r="ACX25" s="28"/>
      <c r="ACY25" s="59"/>
      <c r="ACZ25" s="28"/>
      <c r="ADA25" s="28"/>
      <c r="ADB25" s="28"/>
      <c r="ADC25" s="28"/>
      <c r="ADD25" s="28"/>
      <c r="ADE25" s="29"/>
      <c r="ADF25" s="27"/>
      <c r="ADG25" s="28"/>
      <c r="ADH25" s="28"/>
      <c r="ADI25" s="28"/>
      <c r="ADJ25" s="28"/>
      <c r="ADK25" s="115"/>
      <c r="ADL25" s="28"/>
      <c r="ADM25" s="28"/>
      <c r="ADN25" s="28"/>
      <c r="ADO25" s="28"/>
      <c r="ADP25" s="28"/>
      <c r="ADQ25" s="120"/>
      <c r="ADR25" s="28"/>
      <c r="ADS25" s="28"/>
      <c r="ADT25" s="28"/>
      <c r="ADU25" s="28"/>
      <c r="ADV25" s="28"/>
      <c r="ADW25" s="59"/>
      <c r="ADX25" s="28"/>
      <c r="ADY25" s="28"/>
      <c r="ADZ25" s="28"/>
      <c r="AEA25" s="28"/>
      <c r="AEB25" s="28"/>
      <c r="AEC25" s="120"/>
      <c r="AED25" s="28"/>
      <c r="AEE25" s="149"/>
      <c r="AEF25" s="149"/>
      <c r="AEG25" s="149"/>
      <c r="AEH25" s="149"/>
      <c r="AEI25" s="152"/>
      <c r="AEJ25" s="149"/>
      <c r="AEK25" s="149"/>
      <c r="AEL25" s="149"/>
      <c r="AEM25" s="149"/>
      <c r="AEN25" s="149"/>
      <c r="AEO25" s="151"/>
      <c r="AEP25" s="149"/>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27"/>
      <c r="AFO25" s="28"/>
      <c r="AFP25" s="28"/>
      <c r="AFQ25" s="28"/>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149"/>
      <c r="AIV25" s="149"/>
      <c r="AIW25" s="149"/>
      <c r="AIX25" s="149"/>
      <c r="AIY25" s="152"/>
      <c r="AIZ25" s="149"/>
      <c r="AJA25" s="149"/>
      <c r="AJB25" s="149"/>
      <c r="AJC25" s="149"/>
      <c r="AJD25" s="149"/>
      <c r="AJE25" s="151"/>
      <c r="AJF25" s="149"/>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27"/>
      <c r="AKE25" s="28"/>
      <c r="AKF25" s="28"/>
      <c r="AKG25" s="28"/>
      <c r="AKH25" s="28"/>
      <c r="AKI25" s="115"/>
      <c r="AKJ25" s="28"/>
      <c r="AKK25" s="28"/>
      <c r="AKL25" s="28"/>
      <c r="AKM25" s="28"/>
      <c r="AKN25" s="28"/>
      <c r="AKO25" s="120"/>
      <c r="AKP25" s="28"/>
      <c r="AKQ25" s="28"/>
      <c r="AKR25" s="28"/>
      <c r="AKS25" s="28"/>
      <c r="AKT25" s="28"/>
      <c r="AKU25" s="59"/>
      <c r="AKV25" s="28"/>
      <c r="AKW25" s="28"/>
      <c r="AKX25" s="28"/>
      <c r="AKY25" s="28"/>
      <c r="AKZ25" s="28"/>
      <c r="ALA25" s="120"/>
      <c r="ALB25" s="28"/>
      <c r="ALC25" s="28"/>
      <c r="ALD25" s="28"/>
      <c r="ALE25" s="28"/>
      <c r="ALF25" s="28"/>
      <c r="ALG25" s="59"/>
      <c r="ALH25" s="28"/>
      <c r="ALI25" s="28"/>
      <c r="ALJ25" s="28"/>
      <c r="ALK25" s="28"/>
      <c r="ALL25" s="28"/>
      <c r="ALM25" s="120"/>
      <c r="ALN25" s="28"/>
      <c r="ALO25" s="28"/>
      <c r="ALP25" s="28"/>
      <c r="ALQ25" s="28"/>
      <c r="ALR25" s="28"/>
      <c r="ALS25" s="59"/>
      <c r="ALT25" s="28"/>
      <c r="ALU25" s="28"/>
      <c r="ALV25" s="28"/>
      <c r="ALW25" s="28"/>
      <c r="ALX25" s="28"/>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149"/>
      <c r="AOA25" s="152"/>
      <c r="AOB25" s="149"/>
      <c r="AOC25" s="149"/>
      <c r="AOD25" s="149"/>
      <c r="AOE25" s="149"/>
      <c r="AOF25" s="149"/>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149"/>
      <c r="ASB25" s="149"/>
      <c r="ASC25" s="149"/>
      <c r="ASD25" s="149"/>
      <c r="ASE25" s="152"/>
      <c r="ASF25" s="149"/>
      <c r="ASG25" s="149"/>
      <c r="ASH25" s="149"/>
      <c r="ASI25" s="149"/>
      <c r="ASJ25" s="149"/>
      <c r="ASK25" s="151"/>
      <c r="ASL25" s="149"/>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149"/>
      <c r="AUP25" s="149"/>
      <c r="AUQ25" s="149"/>
      <c r="AUR25" s="149"/>
      <c r="AUS25" s="151"/>
      <c r="AUT25" s="149"/>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149"/>
      <c r="AWR25" s="149"/>
      <c r="AWS25" s="149"/>
      <c r="AWT25" s="149"/>
      <c r="AWU25" s="152"/>
      <c r="AWV25" s="149"/>
      <c r="AWW25" s="149"/>
      <c r="AWX25" s="149"/>
      <c r="AWY25" s="149"/>
      <c r="AWZ25" s="149"/>
      <c r="AXA25" s="151"/>
      <c r="AXB25" s="149"/>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148"/>
      <c r="AYA25" s="149"/>
      <c r="AYB25" s="149"/>
      <c r="AYC25" s="149"/>
      <c r="AYD25" s="149"/>
      <c r="AYE25" s="150"/>
      <c r="AYF25" s="149"/>
      <c r="AYG25" s="149"/>
      <c r="AYH25" s="149"/>
      <c r="AYI25" s="149"/>
      <c r="AYJ25" s="149"/>
      <c r="AYK25" s="151"/>
      <c r="AYL25" s="149"/>
      <c r="AYM25" s="149"/>
      <c r="AYN25" s="149"/>
      <c r="AYO25" s="149"/>
      <c r="AYP25" s="149"/>
      <c r="AYQ25" s="152"/>
      <c r="AYR25" s="149"/>
      <c r="AYS25" s="149"/>
      <c r="AYT25" s="149"/>
      <c r="AYU25" s="149"/>
      <c r="AYV25" s="149"/>
      <c r="AYW25" s="151"/>
      <c r="AYX25" s="149"/>
      <c r="AYY25" s="149"/>
      <c r="AYZ25" s="149"/>
      <c r="AZA25" s="149"/>
      <c r="AZB25" s="149"/>
      <c r="AZC25" s="152"/>
      <c r="AZD25" s="149"/>
      <c r="AZE25" s="149"/>
      <c r="AZF25" s="149"/>
      <c r="AZG25" s="149"/>
      <c r="AZH25" s="149"/>
      <c r="AZI25" s="151"/>
      <c r="AZJ25" s="149"/>
      <c r="AZK25" s="149"/>
      <c r="AZL25" s="149"/>
      <c r="AZM25" s="149"/>
      <c r="AZN25" s="149"/>
      <c r="AZO25" s="152"/>
      <c r="AZP25" s="149"/>
      <c r="AZQ25" s="149"/>
      <c r="AZR25" s="149"/>
      <c r="AZS25" s="149"/>
      <c r="AZT25" s="149"/>
      <c r="AZU25" s="120"/>
      <c r="AZV25" s="28"/>
      <c r="AZW25" s="28"/>
      <c r="AZX25" s="28"/>
      <c r="AZY25" s="28"/>
      <c r="AZZ25" s="28"/>
      <c r="BAA25" s="59"/>
      <c r="BAB25" s="28"/>
      <c r="BAC25" s="28"/>
      <c r="BAD25" s="28"/>
      <c r="BAE25" s="28"/>
      <c r="BAF25" s="28"/>
      <c r="BAG25" s="29"/>
      <c r="BAH25" s="148"/>
      <c r="BAI25" s="149"/>
      <c r="BAJ25" s="149"/>
      <c r="BAK25" s="149"/>
      <c r="BAL25" s="149"/>
      <c r="BAM25" s="150"/>
      <c r="BAN25" s="149"/>
      <c r="BAO25" s="149"/>
      <c r="BAP25" s="149"/>
      <c r="BAQ25" s="149"/>
      <c r="BAR25" s="149"/>
      <c r="BAS25" s="151"/>
      <c r="BAT25" s="149"/>
      <c r="BAU25" s="149"/>
      <c r="BAV25" s="149"/>
      <c r="BAW25" s="149"/>
      <c r="BAX25" s="149"/>
      <c r="BAY25" s="152"/>
      <c r="BAZ25" s="149"/>
      <c r="BBA25" s="149"/>
      <c r="BBB25" s="149"/>
      <c r="BBC25" s="149"/>
      <c r="BBD25" s="149"/>
      <c r="BBE25" s="151"/>
      <c r="BBF25" s="149"/>
      <c r="BBG25" s="149"/>
      <c r="BBH25" s="149"/>
      <c r="BBI25" s="149"/>
      <c r="BBJ25" s="149"/>
      <c r="BBK25" s="152"/>
      <c r="BBL25" s="149"/>
      <c r="BBM25" s="149"/>
      <c r="BBN25" s="149"/>
      <c r="BBO25" s="149"/>
      <c r="BBP25" s="149"/>
      <c r="BBQ25" s="151"/>
      <c r="BBR25" s="149"/>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148"/>
      <c r="BCQ25" s="149"/>
      <c r="BCR25" s="149"/>
      <c r="BCS25" s="149"/>
      <c r="BCT25" s="149"/>
      <c r="BCU25" s="150"/>
      <c r="BCV25" s="149"/>
      <c r="BCW25" s="149"/>
      <c r="BCX25" s="149"/>
      <c r="BCY25" s="149"/>
      <c r="BCZ25" s="149"/>
      <c r="BDA25" s="151"/>
      <c r="BDB25" s="149"/>
      <c r="BDC25" s="149"/>
      <c r="BDD25" s="149"/>
      <c r="BDE25" s="149"/>
      <c r="BDF25" s="149"/>
      <c r="BDG25" s="152"/>
      <c r="BDH25" s="149"/>
      <c r="BDI25" s="149"/>
      <c r="BDJ25" s="149"/>
      <c r="BDK25" s="149"/>
      <c r="BDL25" s="149"/>
      <c r="BDM25" s="151"/>
      <c r="BDN25" s="149"/>
      <c r="BDO25" s="149"/>
      <c r="BDP25" s="149"/>
      <c r="BDQ25" s="149"/>
      <c r="BDR25" s="149"/>
      <c r="BDS25" s="152"/>
      <c r="BDT25" s="149"/>
      <c r="BDU25" s="149"/>
      <c r="BDV25" s="149"/>
      <c r="BDW25" s="149"/>
      <c r="BDX25" s="149"/>
      <c r="BDY25" s="151"/>
      <c r="BDZ25" s="149"/>
      <c r="BEA25" s="149"/>
      <c r="BEB25" s="149"/>
      <c r="BEC25" s="149"/>
      <c r="BED25" s="149"/>
      <c r="BEE25" s="152"/>
      <c r="BEF25" s="149"/>
      <c r="BEG25" s="149"/>
      <c r="BEH25" s="149"/>
      <c r="BEI25" s="149"/>
      <c r="BEJ25" s="149"/>
      <c r="BEK25" s="120"/>
      <c r="BEL25" s="28"/>
      <c r="BEM25" s="28"/>
      <c r="BEN25" s="28"/>
      <c r="BEO25" s="28"/>
      <c r="BEP25" s="28"/>
      <c r="BEQ25" s="59"/>
      <c r="BER25" s="28"/>
      <c r="BES25" s="28"/>
      <c r="BET25" s="28"/>
      <c r="BEU25" s="28"/>
      <c r="BEV25" s="28"/>
      <c r="BEW25" s="29"/>
      <c r="BEX25" s="75"/>
    </row>
    <row r="26" spans="1:1506" ht="20.100000000000001" customHeight="1" x14ac:dyDescent="0.3">
      <c r="A26" s="84" t="s">
        <v>20</v>
      </c>
      <c r="B26" s="53" t="str">
        <f>IF(LEN(C37)=0,"",C37)</f>
        <v>Tests - Réalisation des tests end to end</v>
      </c>
      <c r="C26" s="176"/>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75"/>
    </row>
    <row r="27" spans="1:1506" ht="20.100000000000001" customHeight="1" x14ac:dyDescent="0.25">
      <c r="A27" s="84" t="s">
        <v>19</v>
      </c>
      <c r="B27" s="53" t="str">
        <f>IF(LEN(C39)=0,"",C39)</f>
        <v>Tests - Installation docker</v>
      </c>
      <c r="C27" s="175" t="s">
        <v>44</v>
      </c>
      <c r="D27" s="129" t="str">
        <f t="shared" si="0"/>
        <v>4h</v>
      </c>
      <c r="E27" s="34">
        <v>48</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154"/>
      <c r="EI27" s="154"/>
      <c r="EJ27" s="154"/>
      <c r="EK27" s="154"/>
      <c r="EL27" s="154"/>
      <c r="EM27" s="157"/>
      <c r="EN27" s="154"/>
      <c r="EO27" s="154"/>
      <c r="EP27" s="154"/>
      <c r="EQ27" s="154"/>
      <c r="ER27" s="154"/>
      <c r="ES27" s="153"/>
      <c r="ET27" s="154"/>
      <c r="EU27" s="154"/>
      <c r="EV27" s="154"/>
      <c r="EW27" s="154"/>
      <c r="EX27" s="154"/>
      <c r="EY27" s="157"/>
      <c r="EZ27" s="154"/>
      <c r="FA27" s="154"/>
      <c r="FB27" s="154"/>
      <c r="FC27" s="154"/>
      <c r="FD27" s="154"/>
      <c r="FE27" s="153"/>
      <c r="FF27" s="154"/>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154"/>
      <c r="GQ27" s="154"/>
      <c r="GR27" s="154"/>
      <c r="GS27" s="154"/>
      <c r="GT27" s="154"/>
      <c r="GU27" s="157"/>
      <c r="GV27" s="154"/>
      <c r="GW27" s="154"/>
      <c r="GX27" s="154"/>
      <c r="GY27" s="154"/>
      <c r="GZ27" s="154"/>
      <c r="HA27" s="153"/>
      <c r="HB27" s="154"/>
      <c r="HC27" s="154"/>
      <c r="HD27" s="154"/>
      <c r="HE27" s="154"/>
      <c r="HF27" s="154"/>
      <c r="HG27" s="157"/>
      <c r="HH27" s="154"/>
      <c r="HI27" s="154"/>
      <c r="HJ27" s="154"/>
      <c r="HK27" s="154"/>
      <c r="HL27" s="154"/>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36"/>
      <c r="LS27" s="36"/>
      <c r="LT27" s="36"/>
      <c r="LU27" s="36"/>
      <c r="LV27" s="36"/>
      <c r="LW27" s="61"/>
      <c r="LX27" s="36"/>
      <c r="LY27" s="36"/>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36"/>
      <c r="NX27" s="36"/>
      <c r="NY27" s="122"/>
      <c r="NZ27" s="36"/>
      <c r="OA27" s="36"/>
      <c r="OB27" s="36"/>
      <c r="OC27" s="36"/>
      <c r="OD27" s="36"/>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36"/>
      <c r="SW27" s="36"/>
      <c r="SX27" s="36"/>
      <c r="SY27" s="36"/>
      <c r="SZ27" s="36"/>
      <c r="TA27" s="122"/>
      <c r="TB27" s="36"/>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36"/>
      <c r="VN27" s="36"/>
      <c r="VO27" s="61"/>
      <c r="VP27" s="36"/>
      <c r="VQ27" s="36"/>
      <c r="VR27" s="36"/>
      <c r="VS27" s="36"/>
      <c r="VT27" s="36"/>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35"/>
      <c r="YQ27" s="36"/>
      <c r="YR27" s="36"/>
      <c r="YS27" s="36"/>
      <c r="YT27" s="36"/>
      <c r="YU27" s="117"/>
      <c r="YV27" s="36"/>
      <c r="YW27" s="36"/>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36"/>
      <c r="ADJ27" s="36"/>
      <c r="ADK27" s="117"/>
      <c r="ADL27" s="36"/>
      <c r="ADM27" s="36"/>
      <c r="ADN27" s="36"/>
      <c r="ADO27" s="36"/>
      <c r="ADP27" s="36"/>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36"/>
      <c r="AFS27" s="117"/>
      <c r="AFT27" s="36"/>
      <c r="AFU27" s="36"/>
      <c r="AFV27" s="36"/>
      <c r="AFW27" s="36"/>
      <c r="AFX27" s="36"/>
      <c r="AFY27" s="122"/>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35"/>
      <c r="AMM27" s="36"/>
      <c r="AMN27" s="36"/>
      <c r="AMO27" s="36"/>
      <c r="AMP27" s="36"/>
      <c r="AMQ27" s="117"/>
      <c r="AMR27" s="36"/>
      <c r="AMS27" s="36"/>
      <c r="AMT27" s="36"/>
      <c r="AMU27" s="36"/>
      <c r="AMV27" s="36"/>
      <c r="AMW27" s="122"/>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36"/>
      <c r="APP27" s="36"/>
      <c r="APQ27" s="122"/>
      <c r="APR27" s="36"/>
      <c r="APS27" s="36"/>
      <c r="APT27" s="36"/>
      <c r="APU27" s="36"/>
      <c r="APV27" s="36"/>
      <c r="APW27" s="61"/>
      <c r="APX27" s="36"/>
      <c r="APY27" s="36"/>
      <c r="APZ27" s="36"/>
      <c r="AQA27" s="36"/>
      <c r="AQB27" s="36"/>
      <c r="AQC27" s="122"/>
      <c r="AQD27" s="36"/>
      <c r="AQE27" s="36"/>
      <c r="AQF27" s="36"/>
      <c r="AQG27" s="36"/>
      <c r="AQH27" s="36"/>
      <c r="AQI27" s="61"/>
      <c r="AQJ27" s="36"/>
      <c r="AQK27" s="36"/>
      <c r="AQL27" s="36"/>
      <c r="AQM27" s="36"/>
      <c r="AQN27" s="36"/>
      <c r="AQO27" s="122"/>
      <c r="AQP27" s="36"/>
      <c r="AQQ27" s="36"/>
      <c r="AQR27" s="36"/>
      <c r="AQS27" s="36"/>
      <c r="AQT27" s="36"/>
      <c r="AQU27" s="61"/>
      <c r="AQV27" s="36"/>
      <c r="AQW27" s="36"/>
      <c r="AQX27" s="36"/>
      <c r="AQY27" s="36"/>
      <c r="AQZ27" s="36"/>
      <c r="ARA27" s="37"/>
      <c r="ARB27" s="35"/>
      <c r="ARC27" s="36"/>
      <c r="ARD27" s="36"/>
      <c r="ARE27" s="36"/>
      <c r="ARF27" s="36"/>
      <c r="ARG27" s="117"/>
      <c r="ARH27" s="36"/>
      <c r="ARI27" s="36"/>
      <c r="ARJ27" s="36"/>
      <c r="ARK27" s="36"/>
      <c r="ARL27" s="36"/>
      <c r="ARM27" s="122"/>
      <c r="ARN27" s="36"/>
      <c r="ARO27" s="36"/>
      <c r="ARP27" s="36"/>
      <c r="ARQ27" s="36"/>
      <c r="ARR27" s="36"/>
      <c r="ARS27" s="61"/>
      <c r="ART27" s="36"/>
      <c r="ARU27" s="36"/>
      <c r="ARV27" s="36"/>
      <c r="ARW27" s="36"/>
      <c r="ARX27" s="36"/>
      <c r="ARY27" s="122"/>
      <c r="ARZ27" s="36"/>
      <c r="ASA27" s="36"/>
      <c r="ASB27" s="36"/>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75"/>
    </row>
    <row r="28" spans="1:1506" ht="20.100000000000001" customHeight="1" x14ac:dyDescent="0.3">
      <c r="A28" s="84" t="s">
        <v>20</v>
      </c>
      <c r="B28" s="53" t="str">
        <f>IF(LEN(C41)=0,"",C41)</f>
        <v>Tests - Fonctionnalités</v>
      </c>
      <c r="C28" s="176"/>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75"/>
    </row>
    <row r="29" spans="1:1506" ht="20.100000000000001" customHeight="1" x14ac:dyDescent="0.25">
      <c r="A29" s="84" t="s">
        <v>19</v>
      </c>
      <c r="B29" s="53" t="str">
        <f>IF(LEN(C43)=0,"",C43)</f>
        <v/>
      </c>
      <c r="C29" s="175" t="s">
        <v>68</v>
      </c>
      <c r="D29" s="129" t="str">
        <f t="shared" si="0"/>
        <v>2h15min</v>
      </c>
      <c r="E29" s="26">
        <v>27</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148"/>
      <c r="GE29" s="149"/>
      <c r="GF29" s="149"/>
      <c r="GG29" s="149"/>
      <c r="GH29" s="149"/>
      <c r="GI29" s="150"/>
      <c r="GJ29" s="149"/>
      <c r="GK29" s="149"/>
      <c r="GL29" s="149"/>
      <c r="GM29" s="149"/>
      <c r="GN29" s="149"/>
      <c r="GO29" s="151"/>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148"/>
      <c r="IM29" s="149"/>
      <c r="IN29" s="149"/>
      <c r="IO29" s="149"/>
      <c r="IP29" s="149"/>
      <c r="IQ29" s="150"/>
      <c r="IR29" s="149"/>
      <c r="IS29" s="149"/>
      <c r="IT29" s="149"/>
      <c r="IU29" s="149"/>
      <c r="IV29" s="149"/>
      <c r="IW29" s="151"/>
      <c r="IX29" s="149"/>
      <c r="IY29" s="149"/>
      <c r="IZ29" s="149"/>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75"/>
    </row>
    <row r="30" spans="1:1506" ht="20.100000000000001" customHeight="1" x14ac:dyDescent="0.3">
      <c r="A30" s="84" t="s">
        <v>20</v>
      </c>
      <c r="B30" s="53" t="str">
        <f>IF(LEN(C45)=0,"",C45)</f>
        <v/>
      </c>
      <c r="C30" s="176"/>
      <c r="D30" s="131" t="str">
        <f t="shared" si="0"/>
        <v>0h</v>
      </c>
      <c r="E30" s="30">
        <v>0</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75"/>
    </row>
    <row r="31" spans="1:1506" ht="20.100000000000001" customHeight="1" x14ac:dyDescent="0.25">
      <c r="A31" s="84" t="s">
        <v>19</v>
      </c>
      <c r="B31" s="53" t="str">
        <f>IF(LEN(C47)=0,"",C47)</f>
        <v/>
      </c>
      <c r="C31" s="175" t="s">
        <v>69</v>
      </c>
      <c r="D31" s="129" t="str">
        <f t="shared" si="0"/>
        <v>1h</v>
      </c>
      <c r="E31" s="34">
        <v>12</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36"/>
      <c r="GQ31" s="36"/>
      <c r="GR31" s="36"/>
      <c r="GS31" s="36"/>
      <c r="GT31" s="36"/>
      <c r="GU31" s="61"/>
      <c r="GV31" s="36"/>
      <c r="GW31" s="36"/>
      <c r="GX31" s="36"/>
      <c r="GY31" s="36"/>
      <c r="GZ31" s="36"/>
      <c r="HA31" s="122"/>
      <c r="HB31" s="36"/>
      <c r="HC31" s="36"/>
      <c r="HD31" s="36"/>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155"/>
      <c r="KU31" s="154"/>
      <c r="KV31" s="154"/>
      <c r="KW31" s="154"/>
      <c r="KX31" s="154"/>
      <c r="KY31" s="156"/>
      <c r="KZ31" s="154"/>
      <c r="LA31" s="154"/>
      <c r="LB31" s="154"/>
      <c r="LC31" s="154"/>
      <c r="LD31" s="154"/>
      <c r="LE31" s="153"/>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75"/>
    </row>
    <row r="32" spans="1:1506" ht="20.100000000000001" customHeight="1" x14ac:dyDescent="0.3">
      <c r="A32" s="84" t="s">
        <v>20</v>
      </c>
      <c r="B32" s="53" t="str">
        <f>IF(LEN(C49)=0,"",C49)</f>
        <v/>
      </c>
      <c r="C32" s="176"/>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75"/>
    </row>
    <row r="33" spans="1:1506" ht="20.100000000000001" customHeight="1" x14ac:dyDescent="0.25">
      <c r="A33" s="84" t="s">
        <v>19</v>
      </c>
      <c r="B33" s="53" t="str">
        <f>IF(LEN(C51)=0,"",C51)</f>
        <v/>
      </c>
      <c r="C33" s="175" t="s">
        <v>70</v>
      </c>
      <c r="D33" s="129" t="str">
        <f t="shared" si="0"/>
        <v>24h10min</v>
      </c>
      <c r="E33" s="26">
        <v>290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27"/>
      <c r="RS33" s="28"/>
      <c r="RT33" s="28"/>
      <c r="RU33" s="28"/>
      <c r="RV33" s="28"/>
      <c r="RW33" s="115"/>
      <c r="RX33" s="28"/>
      <c r="RY33" s="28"/>
      <c r="RZ33" s="28"/>
      <c r="SA33" s="28"/>
      <c r="SB33" s="28"/>
      <c r="SC33" s="120"/>
      <c r="SD33" s="28"/>
      <c r="SE33" s="28"/>
      <c r="SF33" s="28"/>
      <c r="SG33" s="28"/>
      <c r="SH33" s="28"/>
      <c r="SI33" s="59"/>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148"/>
      <c r="UA33" s="149"/>
      <c r="UB33" s="149"/>
      <c r="UC33" s="149"/>
      <c r="UD33" s="149"/>
      <c r="UE33" s="150"/>
      <c r="UF33" s="149"/>
      <c r="UG33" s="149"/>
      <c r="UH33" s="149"/>
      <c r="UI33" s="149"/>
      <c r="UJ33" s="149"/>
      <c r="UK33" s="151"/>
      <c r="UL33" s="149"/>
      <c r="UM33" s="149"/>
      <c r="UN33" s="149"/>
      <c r="UO33" s="149"/>
      <c r="UP33" s="149"/>
      <c r="UQ33" s="152"/>
      <c r="UR33" s="149"/>
      <c r="US33" s="149"/>
      <c r="UT33" s="149"/>
      <c r="UU33" s="149"/>
      <c r="UV33" s="149"/>
      <c r="UW33" s="151"/>
      <c r="UX33" s="149"/>
      <c r="UY33" s="149"/>
      <c r="UZ33" s="149"/>
      <c r="VA33" s="149"/>
      <c r="VB33" s="149"/>
      <c r="VC33" s="152"/>
      <c r="VD33" s="149"/>
      <c r="VE33" s="149"/>
      <c r="VF33" s="149"/>
      <c r="VG33" s="149"/>
      <c r="VH33" s="149"/>
      <c r="VI33" s="151"/>
      <c r="VJ33" s="149"/>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148"/>
      <c r="WI33" s="149"/>
      <c r="WJ33" s="149"/>
      <c r="WK33" s="149"/>
      <c r="WL33" s="149"/>
      <c r="WM33" s="150"/>
      <c r="WN33" s="149"/>
      <c r="WO33" s="149"/>
      <c r="WP33" s="149"/>
      <c r="WQ33" s="149"/>
      <c r="WR33" s="149"/>
      <c r="WS33" s="151"/>
      <c r="WT33" s="149"/>
      <c r="WU33" s="149"/>
      <c r="WV33" s="149"/>
      <c r="WW33" s="149"/>
      <c r="WX33" s="149"/>
      <c r="WY33" s="152"/>
      <c r="WZ33" s="149"/>
      <c r="XA33" s="149"/>
      <c r="XB33" s="149"/>
      <c r="XC33" s="149"/>
      <c r="XD33" s="149"/>
      <c r="XE33" s="151"/>
      <c r="XF33" s="149"/>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148"/>
      <c r="YQ33" s="149"/>
      <c r="YR33" s="149"/>
      <c r="YS33" s="149"/>
      <c r="YT33" s="149"/>
      <c r="YU33" s="150"/>
      <c r="YV33" s="149"/>
      <c r="YW33" s="149"/>
      <c r="YX33" s="149"/>
      <c r="YY33" s="149"/>
      <c r="YZ33" s="149"/>
      <c r="ZA33" s="151"/>
      <c r="ZB33" s="149"/>
      <c r="ZC33" s="149"/>
      <c r="ZD33" s="149"/>
      <c r="ZE33" s="149"/>
      <c r="ZF33" s="149"/>
      <c r="ZG33" s="152"/>
      <c r="ZH33" s="149"/>
      <c r="ZI33" s="149"/>
      <c r="ZJ33" s="149"/>
      <c r="ZK33" s="149"/>
      <c r="ZL33" s="149"/>
      <c r="ZM33" s="151"/>
      <c r="ZN33" s="149"/>
      <c r="ZO33" s="149"/>
      <c r="ZP33" s="149"/>
      <c r="ZQ33" s="149"/>
      <c r="ZR33" s="149"/>
      <c r="ZS33" s="152"/>
      <c r="ZT33" s="149"/>
      <c r="ZU33" s="149"/>
      <c r="ZV33" s="149"/>
      <c r="ZW33" s="149"/>
      <c r="ZX33" s="149"/>
      <c r="ZY33" s="151"/>
      <c r="ZZ33" s="149"/>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20"/>
      <c r="ACT33" s="28"/>
      <c r="ACU33" s="28"/>
      <c r="ACV33" s="28"/>
      <c r="ACW33" s="28"/>
      <c r="ACX33" s="28"/>
      <c r="ACY33" s="59"/>
      <c r="ACZ33" s="28"/>
      <c r="ADA33" s="28"/>
      <c r="ADB33" s="28"/>
      <c r="ADC33" s="28"/>
      <c r="ADD33" s="28"/>
      <c r="ADE33" s="29"/>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149"/>
      <c r="AEA33" s="149"/>
      <c r="AEB33" s="149"/>
      <c r="AEC33" s="151"/>
      <c r="AED33" s="149"/>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148"/>
      <c r="AFO33" s="149"/>
      <c r="AFP33" s="149"/>
      <c r="AFQ33" s="149"/>
      <c r="AFR33" s="149"/>
      <c r="AFS33" s="150"/>
      <c r="AFT33" s="149"/>
      <c r="AFU33" s="149"/>
      <c r="AFV33" s="149"/>
      <c r="AFW33" s="149"/>
      <c r="AFX33" s="149"/>
      <c r="AFY33" s="151"/>
      <c r="AFZ33" s="149"/>
      <c r="AGA33" s="149"/>
      <c r="AGB33" s="149"/>
      <c r="AGC33" s="149"/>
      <c r="AGD33" s="149"/>
      <c r="AGE33" s="152"/>
      <c r="AGF33" s="149"/>
      <c r="AGG33" s="149"/>
      <c r="AGH33" s="149"/>
      <c r="AGI33" s="149"/>
      <c r="AGJ33" s="149"/>
      <c r="AGK33" s="151"/>
      <c r="AGL33" s="149"/>
      <c r="AGM33" s="149"/>
      <c r="AGN33" s="149"/>
      <c r="AGO33" s="149"/>
      <c r="AGP33" s="149"/>
      <c r="AGQ33" s="152"/>
      <c r="AGR33" s="149"/>
      <c r="AGS33" s="149"/>
      <c r="AGT33" s="149"/>
      <c r="AGU33" s="149"/>
      <c r="AGV33" s="149"/>
      <c r="AGW33" s="151"/>
      <c r="AGX33" s="149"/>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48"/>
      <c r="AHW33" s="149"/>
      <c r="AHX33" s="149"/>
      <c r="AHY33" s="149"/>
      <c r="AHZ33" s="149"/>
      <c r="AIA33" s="150"/>
      <c r="AIB33" s="149"/>
      <c r="AIC33" s="149"/>
      <c r="AID33" s="149"/>
      <c r="AIE33" s="149"/>
      <c r="AIF33" s="149"/>
      <c r="AIG33" s="151"/>
      <c r="AIH33" s="149"/>
      <c r="AII33" s="149"/>
      <c r="AIJ33" s="149"/>
      <c r="AIK33" s="149"/>
      <c r="AIL33" s="149"/>
      <c r="AIM33" s="152"/>
      <c r="AIN33" s="149"/>
      <c r="AIO33" s="149"/>
      <c r="AIP33" s="149"/>
      <c r="AIQ33" s="149"/>
      <c r="AIR33" s="149"/>
      <c r="AIS33" s="151"/>
      <c r="AIT33" s="149"/>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148"/>
      <c r="AKE33" s="149"/>
      <c r="AKF33" s="149"/>
      <c r="AKG33" s="149"/>
      <c r="AKH33" s="149"/>
      <c r="AKI33" s="150"/>
      <c r="AKJ33" s="149"/>
      <c r="AKK33" s="149"/>
      <c r="AKL33" s="149"/>
      <c r="AKM33" s="149"/>
      <c r="AKN33" s="149"/>
      <c r="AKO33" s="151"/>
      <c r="AKP33" s="149"/>
      <c r="AKQ33" s="149"/>
      <c r="AKR33" s="149"/>
      <c r="AKS33" s="149"/>
      <c r="AKT33" s="149"/>
      <c r="AKU33" s="152"/>
      <c r="AKV33" s="149"/>
      <c r="AKW33" s="149"/>
      <c r="AKX33" s="149"/>
      <c r="AKY33" s="149"/>
      <c r="AKZ33" s="149"/>
      <c r="ALA33" s="151"/>
      <c r="ALB33" s="149"/>
      <c r="ALC33" s="149"/>
      <c r="ALD33" s="149"/>
      <c r="ALE33" s="149"/>
      <c r="ALF33" s="149"/>
      <c r="ALG33" s="152"/>
      <c r="ALH33" s="149"/>
      <c r="ALI33" s="149"/>
      <c r="ALJ33" s="149"/>
      <c r="ALK33" s="149"/>
      <c r="ALL33" s="149"/>
      <c r="ALM33" s="151"/>
      <c r="ALN33" s="149"/>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28"/>
      <c r="AMY33" s="28"/>
      <c r="AMZ33" s="28"/>
      <c r="ANA33" s="28"/>
      <c r="ANB33" s="28"/>
      <c r="ANC33" s="59"/>
      <c r="AND33" s="28"/>
      <c r="ANE33" s="28"/>
      <c r="ANF33" s="149"/>
      <c r="ANG33" s="149"/>
      <c r="ANH33" s="149"/>
      <c r="ANI33" s="151"/>
      <c r="ANJ33" s="149"/>
      <c r="ANK33" s="149"/>
      <c r="ANL33" s="149"/>
      <c r="ANM33" s="149"/>
      <c r="ANN33" s="149"/>
      <c r="ANO33" s="152"/>
      <c r="ANP33" s="149"/>
      <c r="ANQ33" s="149"/>
      <c r="ANR33" s="149"/>
      <c r="ANS33" s="149"/>
      <c r="ANT33" s="149"/>
      <c r="ANU33" s="151"/>
      <c r="ANV33" s="149"/>
      <c r="ANW33" s="149"/>
      <c r="ANX33" s="149"/>
      <c r="ANY33" s="149"/>
      <c r="ANZ33" s="28"/>
      <c r="AOA33" s="59"/>
      <c r="AOB33" s="28"/>
      <c r="AOC33" s="28"/>
      <c r="AOD33" s="28"/>
      <c r="AOE33" s="28"/>
      <c r="AOF33" s="28"/>
      <c r="AOG33" s="120"/>
      <c r="AOH33" s="28"/>
      <c r="AOI33" s="28"/>
      <c r="AOJ33" s="28"/>
      <c r="AOK33" s="28"/>
      <c r="AOL33" s="28"/>
      <c r="AOM33" s="59"/>
      <c r="AON33" s="28"/>
      <c r="AOO33" s="28"/>
      <c r="AOP33" s="28"/>
      <c r="AOQ33" s="28"/>
      <c r="AOR33" s="28"/>
      <c r="AOS33" s="29"/>
      <c r="AOT33" s="27"/>
      <c r="AOU33" s="28"/>
      <c r="AOV33" s="28"/>
      <c r="AOW33" s="28"/>
      <c r="AOX33" s="28"/>
      <c r="AOY33" s="115"/>
      <c r="AOZ33" s="28"/>
      <c r="APA33" s="28"/>
      <c r="APB33" s="28"/>
      <c r="APC33" s="28"/>
      <c r="APD33" s="28"/>
      <c r="APE33" s="120"/>
      <c r="APF33" s="28"/>
      <c r="APG33" s="28"/>
      <c r="APH33" s="28"/>
      <c r="API33" s="28"/>
      <c r="APJ33" s="28"/>
      <c r="APK33" s="59"/>
      <c r="APL33" s="28"/>
      <c r="APM33" s="28"/>
      <c r="APN33" s="28"/>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75"/>
    </row>
    <row r="34" spans="1:1506" ht="20.100000000000001" customHeight="1" x14ac:dyDescent="0.3">
      <c r="A34" s="84" t="s">
        <v>20</v>
      </c>
      <c r="B34" s="53" t="str">
        <f>IF(LEN(C53)=0,"",C53)</f>
        <v/>
      </c>
      <c r="C34" s="176"/>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75"/>
    </row>
    <row r="35" spans="1:1506" ht="20.100000000000001" customHeight="1" x14ac:dyDescent="0.25">
      <c r="A35" s="84" t="s">
        <v>19</v>
      </c>
      <c r="B35" s="53" t="str">
        <f>IF(LEN(C55)=0,"",C55)</f>
        <v/>
      </c>
      <c r="C35" s="175" t="s">
        <v>71</v>
      </c>
      <c r="D35" s="129" t="str">
        <f t="shared" si="0"/>
        <v>11h</v>
      </c>
      <c r="E35" s="34">
        <v>132</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154"/>
      <c r="LG35" s="154"/>
      <c r="LH35" s="154"/>
      <c r="LI35" s="154"/>
      <c r="LJ35" s="154"/>
      <c r="LK35" s="157"/>
      <c r="LL35" s="154"/>
      <c r="LM35" s="154"/>
      <c r="LN35" s="154"/>
      <c r="LO35" s="154"/>
      <c r="LP35" s="154"/>
      <c r="LQ35" s="153"/>
      <c r="LR35" s="154"/>
      <c r="LS35" s="154"/>
      <c r="LT35" s="154"/>
      <c r="LU35" s="154"/>
      <c r="LV35" s="154"/>
      <c r="LW35" s="157"/>
      <c r="LX35" s="154"/>
      <c r="LY35" s="154"/>
      <c r="LZ35" s="154"/>
      <c r="MA35" s="154"/>
      <c r="MB35" s="154"/>
      <c r="MC35" s="153"/>
      <c r="MD35" s="154"/>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155"/>
      <c r="NC35" s="154"/>
      <c r="ND35" s="154"/>
      <c r="NE35" s="154"/>
      <c r="NF35" s="154"/>
      <c r="NG35" s="156"/>
      <c r="NH35" s="154"/>
      <c r="NI35" s="154"/>
      <c r="NJ35" s="154"/>
      <c r="NK35" s="154"/>
      <c r="NL35" s="154"/>
      <c r="NM35" s="153"/>
      <c r="NN35" s="154"/>
      <c r="NO35" s="154"/>
      <c r="NP35" s="154"/>
      <c r="NQ35" s="154"/>
      <c r="NR35" s="154"/>
      <c r="NS35" s="157"/>
      <c r="NT35" s="154"/>
      <c r="NU35" s="154"/>
      <c r="NV35" s="154"/>
      <c r="NW35" s="154"/>
      <c r="NX35" s="154"/>
      <c r="NY35" s="153"/>
      <c r="NZ35" s="154"/>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155"/>
      <c r="PK35" s="154"/>
      <c r="PL35" s="154"/>
      <c r="PM35" s="154"/>
      <c r="PN35" s="154"/>
      <c r="PO35" s="156"/>
      <c r="PP35" s="154"/>
      <c r="PQ35" s="154"/>
      <c r="PR35" s="154"/>
      <c r="PS35" s="154"/>
      <c r="PT35" s="154"/>
      <c r="PU35" s="153"/>
      <c r="PV35" s="154"/>
      <c r="PW35" s="154"/>
      <c r="PX35" s="154"/>
      <c r="PY35" s="154"/>
      <c r="PZ35" s="154"/>
      <c r="QA35" s="157"/>
      <c r="QB35" s="154"/>
      <c r="QC35" s="154"/>
      <c r="QD35" s="154"/>
      <c r="QE35" s="154"/>
      <c r="QF35" s="154"/>
      <c r="QG35" s="153"/>
      <c r="QH35" s="154"/>
      <c r="QI35" s="154"/>
      <c r="QJ35" s="154"/>
      <c r="QK35" s="154"/>
      <c r="QL35" s="154"/>
      <c r="QM35" s="157"/>
      <c r="QN35" s="154"/>
      <c r="QO35" s="154"/>
      <c r="QP35" s="154"/>
      <c r="QQ35" s="154"/>
      <c r="QR35" s="154"/>
      <c r="QS35" s="153"/>
      <c r="QT35" s="154"/>
      <c r="QU35" s="154"/>
      <c r="QV35" s="154"/>
      <c r="QW35" s="154"/>
      <c r="QX35" s="154"/>
      <c r="QY35" s="157"/>
      <c r="QZ35" s="154"/>
      <c r="RA35" s="154"/>
      <c r="RB35" s="154"/>
      <c r="RC35" s="154"/>
      <c r="RD35" s="154"/>
      <c r="RE35" s="122"/>
      <c r="RF35" s="36"/>
      <c r="RG35" s="36"/>
      <c r="RH35" s="36"/>
      <c r="RI35" s="36"/>
      <c r="RJ35" s="36"/>
      <c r="RK35" s="61"/>
      <c r="RL35" s="36"/>
      <c r="RM35" s="36"/>
      <c r="RN35" s="36"/>
      <c r="RO35" s="36"/>
      <c r="RP35" s="36"/>
      <c r="RQ35" s="37"/>
      <c r="RR35" s="155"/>
      <c r="RS35" s="154"/>
      <c r="RT35" s="154"/>
      <c r="RU35" s="154"/>
      <c r="RV35" s="154"/>
      <c r="RW35" s="156"/>
      <c r="RX35" s="154"/>
      <c r="RY35" s="154"/>
      <c r="RZ35" s="154"/>
      <c r="SA35" s="154"/>
      <c r="SB35" s="154"/>
      <c r="SC35" s="153"/>
      <c r="SD35" s="154"/>
      <c r="SE35" s="154"/>
      <c r="SF35" s="154"/>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155"/>
      <c r="AMM35" s="154"/>
      <c r="AMN35" s="154"/>
      <c r="AMO35" s="154"/>
      <c r="AMP35" s="154"/>
      <c r="AMQ35" s="156"/>
      <c r="AMR35" s="154"/>
      <c r="AMS35" s="154"/>
      <c r="AMT35" s="154"/>
      <c r="AMU35" s="154"/>
      <c r="AMV35" s="154"/>
      <c r="AMW35" s="153"/>
      <c r="AMX35" s="154"/>
      <c r="AMY35" s="154"/>
      <c r="AMZ35" s="154"/>
      <c r="ANA35" s="154"/>
      <c r="ANB35" s="154"/>
      <c r="ANC35" s="157"/>
      <c r="AND35" s="154"/>
      <c r="ANE35" s="154"/>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75"/>
    </row>
    <row r="36" spans="1:1506" ht="20.100000000000001" customHeight="1" x14ac:dyDescent="0.25">
      <c r="A36" s="84" t="s">
        <v>20</v>
      </c>
      <c r="B36" s="53" t="str">
        <f>IF(LEN(C57)=0,"",C57)</f>
        <v/>
      </c>
      <c r="C36" s="177"/>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75"/>
    </row>
    <row r="37" spans="1:1506" ht="20.100000000000001" customHeight="1" x14ac:dyDescent="0.25">
      <c r="A37" s="84" t="s">
        <v>19</v>
      </c>
      <c r="B37" s="53" t="str">
        <f>IF(LEN(C59)=0,"",C59)</f>
        <v/>
      </c>
      <c r="C37" s="175" t="s">
        <v>45</v>
      </c>
      <c r="D37" s="129" t="str">
        <f t="shared" si="0"/>
        <v>5h10min</v>
      </c>
      <c r="E37" s="26">
        <v>62</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148"/>
      <c r="AOU37" s="149"/>
      <c r="AOV37" s="149"/>
      <c r="AOW37" s="149"/>
      <c r="AOX37" s="149"/>
      <c r="AOY37" s="150"/>
      <c r="AOZ37" s="149"/>
      <c r="APA37" s="149"/>
      <c r="APB37" s="149"/>
      <c r="APC37" s="149"/>
      <c r="APD37" s="149"/>
      <c r="APE37" s="151"/>
      <c r="APF37" s="149"/>
      <c r="APG37" s="149"/>
      <c r="APH37" s="149"/>
      <c r="API37" s="149"/>
      <c r="APJ37" s="149"/>
      <c r="APK37" s="152"/>
      <c r="APL37" s="149"/>
      <c r="APM37" s="149"/>
      <c r="APN37" s="149"/>
      <c r="APO37" s="149"/>
      <c r="APP37" s="149"/>
      <c r="APQ37" s="151"/>
      <c r="APR37" s="149"/>
      <c r="APS37" s="149"/>
      <c r="APT37" s="149"/>
      <c r="APU37" s="149"/>
      <c r="APV37" s="149"/>
      <c r="APW37" s="152"/>
      <c r="APX37" s="149"/>
      <c r="APY37" s="149"/>
      <c r="APZ37" s="149"/>
      <c r="AQA37" s="149"/>
      <c r="AQB37" s="149"/>
      <c r="AQC37" s="151"/>
      <c r="AQD37" s="149"/>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148"/>
      <c r="ARC37" s="149"/>
      <c r="ARD37" s="149"/>
      <c r="ARE37" s="149"/>
      <c r="ARF37" s="149"/>
      <c r="ARG37" s="150"/>
      <c r="ARH37" s="149"/>
      <c r="ARI37" s="149"/>
      <c r="ARJ37" s="149"/>
      <c r="ARK37" s="149"/>
      <c r="ARL37" s="149"/>
      <c r="ARM37" s="151"/>
      <c r="ARN37" s="149"/>
      <c r="ARO37" s="149"/>
      <c r="ARP37" s="149"/>
      <c r="ARQ37" s="149"/>
      <c r="ARR37" s="149"/>
      <c r="ARS37" s="152"/>
      <c r="ART37" s="149"/>
      <c r="ARU37" s="149"/>
      <c r="ARV37" s="149"/>
      <c r="ARW37" s="149"/>
      <c r="ARX37" s="149"/>
      <c r="ARY37" s="151"/>
      <c r="ARZ37" s="149"/>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75"/>
    </row>
    <row r="38" spans="1:1506" ht="20.100000000000001" customHeight="1" x14ac:dyDescent="0.3">
      <c r="A38" s="84" t="s">
        <v>20</v>
      </c>
      <c r="B38" s="53" t="str">
        <f>IF(LEN(C61)=0,"",C61)</f>
        <v/>
      </c>
      <c r="C38" s="176"/>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75"/>
    </row>
    <row r="39" spans="1:1506" ht="20.100000000000001" customHeight="1" x14ac:dyDescent="0.25">
      <c r="A39" s="84" t="s">
        <v>19</v>
      </c>
      <c r="B39" s="53" t="str">
        <f>IF(LEN(C63)=0,"",C63)</f>
        <v/>
      </c>
      <c r="C39" s="175" t="s">
        <v>46</v>
      </c>
      <c r="D39" s="129" t="str">
        <f t="shared" si="0"/>
        <v>2h35min</v>
      </c>
      <c r="E39" s="34">
        <v>31</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155"/>
      <c r="ATK39" s="154"/>
      <c r="ATL39" s="154"/>
      <c r="ATM39" s="154"/>
      <c r="ATN39" s="154"/>
      <c r="ATO39" s="156"/>
      <c r="ATP39" s="154"/>
      <c r="ATQ39" s="154"/>
      <c r="ATR39" s="154"/>
      <c r="ATS39" s="154"/>
      <c r="ATT39" s="154"/>
      <c r="ATU39" s="153"/>
      <c r="ATV39" s="154"/>
      <c r="ATW39" s="154"/>
      <c r="ATX39" s="154"/>
      <c r="ATY39" s="154"/>
      <c r="ATZ39" s="154"/>
      <c r="AUA39" s="157"/>
      <c r="AUB39" s="154"/>
      <c r="AUC39" s="154"/>
      <c r="AUD39" s="154"/>
      <c r="AUE39" s="154"/>
      <c r="AUF39" s="154"/>
      <c r="AUG39" s="153"/>
      <c r="AUH39" s="154"/>
      <c r="AUI39" s="154"/>
      <c r="AUJ39" s="154"/>
      <c r="AUK39" s="154"/>
      <c r="AUL39" s="154"/>
      <c r="AUM39" s="157"/>
      <c r="AUN39" s="154"/>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75"/>
    </row>
    <row r="40" spans="1:1506" ht="20.100000000000001" customHeight="1" x14ac:dyDescent="0.25">
      <c r="A40" s="84" t="s">
        <v>20</v>
      </c>
      <c r="B40" s="53" t="str">
        <f>IF(LEN(C65)=0,"",C65)</f>
        <v/>
      </c>
      <c r="C40" s="177"/>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75"/>
    </row>
    <row r="41" spans="1:1506" ht="20.100000000000001" customHeight="1" x14ac:dyDescent="0.25">
      <c r="A41" s="84" t="s">
        <v>19</v>
      </c>
      <c r="B41" s="53" t="str">
        <f>IF(LEN(C67)=0,"",C67)</f>
        <v/>
      </c>
      <c r="C41" s="175" t="s">
        <v>47</v>
      </c>
      <c r="D41" s="129" t="str">
        <f t="shared" si="0"/>
        <v>2h5min</v>
      </c>
      <c r="E41" s="26">
        <v>25</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148"/>
      <c r="AVS41" s="149"/>
      <c r="AVT41" s="149"/>
      <c r="AVU41" s="149"/>
      <c r="AVV41" s="149"/>
      <c r="AVW41" s="150"/>
      <c r="AVX41" s="149"/>
      <c r="AVY41" s="149"/>
      <c r="AVZ41" s="149"/>
      <c r="AWA41" s="149"/>
      <c r="AWB41" s="149"/>
      <c r="AWC41" s="151"/>
      <c r="AWD41" s="149"/>
      <c r="AWE41" s="149"/>
      <c r="AWF41" s="149"/>
      <c r="AWG41" s="149"/>
      <c r="AWH41" s="149"/>
      <c r="AWI41" s="152"/>
      <c r="AWJ41" s="149"/>
      <c r="AWK41" s="149"/>
      <c r="AWL41" s="149"/>
      <c r="AWM41" s="149"/>
      <c r="AWN41" s="149"/>
      <c r="AWO41" s="151"/>
      <c r="AWP41" s="149"/>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75"/>
    </row>
    <row r="42" spans="1:1506" ht="20.100000000000001" customHeight="1" x14ac:dyDescent="0.3">
      <c r="A42" s="84" t="s">
        <v>20</v>
      </c>
      <c r="B42" s="53" t="str">
        <f>IF(LEN(C69)=0,"",C69)</f>
        <v/>
      </c>
      <c r="C42" s="176"/>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75"/>
    </row>
    <row r="43" spans="1:1506" ht="20.100000000000001" customHeight="1" x14ac:dyDescent="0.25">
      <c r="A43" s="84" t="s">
        <v>19</v>
      </c>
      <c r="B43" s="53" t="str">
        <f>IF(LEN(C71)=0,"",C71)</f>
        <v/>
      </c>
      <c r="C43" s="175"/>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75"/>
    </row>
    <row r="44" spans="1:1506" ht="20.100000000000001" customHeight="1" x14ac:dyDescent="0.3">
      <c r="A44" s="84" t="s">
        <v>20</v>
      </c>
      <c r="B44" s="53" t="str">
        <f>IF(LEN(C73)=0,"",C73)</f>
        <v/>
      </c>
      <c r="C44" s="176"/>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75"/>
    </row>
    <row r="45" spans="1:1506" ht="20.100000000000001" customHeight="1" x14ac:dyDescent="0.25">
      <c r="A45" s="84" t="s">
        <v>19</v>
      </c>
      <c r="B45" s="53" t="str">
        <f>IF(LEN(C75)=0,"",C75)</f>
        <v/>
      </c>
      <c r="C45" s="175"/>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75"/>
    </row>
    <row r="46" spans="1:1506" ht="20.100000000000001" customHeight="1" x14ac:dyDescent="0.25">
      <c r="A46" s="84" t="s">
        <v>20</v>
      </c>
      <c r="B46" s="53" t="str">
        <f>IF(LEN(C77)=0,"",C77)</f>
        <v/>
      </c>
      <c r="C46" s="177"/>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75"/>
    </row>
    <row r="47" spans="1:1506" ht="20.100000000000001" customHeight="1" x14ac:dyDescent="0.25">
      <c r="A47" s="84" t="s">
        <v>19</v>
      </c>
      <c r="B47" s="53" t="str">
        <f>IF(LEN(C79)=0,"",C79)</f>
        <v/>
      </c>
      <c r="C47" s="175"/>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75"/>
    </row>
    <row r="48" spans="1:1506" ht="20.100000000000001" customHeight="1" x14ac:dyDescent="0.3">
      <c r="A48" s="84" t="s">
        <v>20</v>
      </c>
      <c r="B48" s="53" t="str">
        <f>IF(LEN(C81)=0,"",C81)</f>
        <v/>
      </c>
      <c r="C48" s="176"/>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75"/>
    </row>
    <row r="49" spans="1:1506" ht="20.100000000000001" customHeight="1" x14ac:dyDescent="0.25">
      <c r="A49" s="84" t="s">
        <v>19</v>
      </c>
      <c r="B49" s="53" t="str">
        <f>IF(LEN(C83)=0,"",C83)</f>
        <v/>
      </c>
      <c r="C49" s="175"/>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75"/>
    </row>
    <row r="50" spans="1:1506" ht="20.100000000000001" customHeight="1" x14ac:dyDescent="0.3">
      <c r="A50" s="84" t="s">
        <v>20</v>
      </c>
      <c r="B50" s="53" t="str">
        <f>IF(LEN(C85)=0,"",C85)</f>
        <v/>
      </c>
      <c r="C50" s="176"/>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75"/>
    </row>
    <row r="51" spans="1:1506" ht="20.100000000000001" customHeight="1" x14ac:dyDescent="0.25">
      <c r="A51" s="84" t="s">
        <v>19</v>
      </c>
      <c r="B51" s="53" t="str">
        <f>IF(LEN(C87)=0,"",C87)</f>
        <v/>
      </c>
      <c r="C51" s="175"/>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75"/>
    </row>
    <row r="52" spans="1:1506" ht="20.100000000000001" customHeight="1" x14ac:dyDescent="0.25">
      <c r="A52" s="84" t="s">
        <v>20</v>
      </c>
      <c r="B52" s="53" t="str">
        <f>IF(LEN(C89)=0,"",C89)</f>
        <v/>
      </c>
      <c r="C52" s="177"/>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75"/>
    </row>
    <row r="53" spans="1:1506" ht="20.100000000000001" customHeight="1" x14ac:dyDescent="0.25">
      <c r="A53" s="84" t="s">
        <v>19</v>
      </c>
      <c r="B53" s="53" t="str">
        <f>IF(LEN(C91)=0,"",C91)</f>
        <v/>
      </c>
      <c r="C53" s="175"/>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75"/>
    </row>
    <row r="54" spans="1:1506" ht="20.100000000000001" customHeight="1" x14ac:dyDescent="0.3">
      <c r="A54" s="84" t="s">
        <v>20</v>
      </c>
      <c r="B54" s="53" t="str">
        <f>IF(LEN(C93)=0,"",C93)</f>
        <v/>
      </c>
      <c r="C54" s="176"/>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75"/>
    </row>
    <row r="55" spans="1:1506" ht="20.100000000000001" customHeight="1" x14ac:dyDescent="0.25">
      <c r="A55" s="84" t="s">
        <v>19</v>
      </c>
      <c r="B55" s="53"/>
      <c r="C55" s="175"/>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75"/>
    </row>
    <row r="56" spans="1:1506" ht="20.100000000000001" customHeight="1" x14ac:dyDescent="0.25">
      <c r="A56" s="84" t="s">
        <v>20</v>
      </c>
      <c r="B56" s="53"/>
      <c r="C56" s="177"/>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75"/>
    </row>
    <row r="57" spans="1:1506" ht="20.100000000000001" customHeight="1" x14ac:dyDescent="0.25">
      <c r="A57" s="84" t="s">
        <v>19</v>
      </c>
      <c r="B57" s="53"/>
      <c r="C57" s="175"/>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75"/>
    </row>
    <row r="58" spans="1:1506" ht="20.100000000000001" customHeight="1" x14ac:dyDescent="0.3">
      <c r="A58" s="84" t="s">
        <v>20</v>
      </c>
      <c r="B58" s="53"/>
      <c r="C58" s="176"/>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75"/>
    </row>
    <row r="59" spans="1:1506" ht="20.100000000000001" customHeight="1" x14ac:dyDescent="0.25">
      <c r="A59" s="84" t="s">
        <v>19</v>
      </c>
      <c r="B59" s="53"/>
      <c r="C59" s="175"/>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75"/>
    </row>
    <row r="60" spans="1:1506" ht="20.100000000000001" customHeight="1" x14ac:dyDescent="0.3">
      <c r="A60" s="84" t="s">
        <v>20</v>
      </c>
      <c r="B60" s="53"/>
      <c r="C60" s="176"/>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75"/>
    </row>
    <row r="61" spans="1:1506" ht="20.100000000000001" customHeight="1" x14ac:dyDescent="0.25">
      <c r="A61" s="84" t="s">
        <v>19</v>
      </c>
      <c r="B61" s="53"/>
      <c r="C61" s="175"/>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75"/>
    </row>
    <row r="62" spans="1:1506" ht="20.100000000000001" customHeight="1" x14ac:dyDescent="0.25">
      <c r="A62" s="84" t="s">
        <v>20</v>
      </c>
      <c r="B62" s="53"/>
      <c r="C62" s="177"/>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75"/>
    </row>
    <row r="63" spans="1:1506" ht="20.100000000000001" customHeight="1" x14ac:dyDescent="0.25">
      <c r="A63" s="84" t="s">
        <v>19</v>
      </c>
      <c r="B63" s="53"/>
      <c r="C63" s="175"/>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75"/>
    </row>
    <row r="64" spans="1:1506" ht="20.100000000000001" customHeight="1" x14ac:dyDescent="0.3">
      <c r="A64" s="84" t="s">
        <v>20</v>
      </c>
      <c r="B64" s="53"/>
      <c r="C64" s="176"/>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75"/>
    </row>
    <row r="65" spans="1:1506" ht="20.100000000000001" customHeight="1" x14ac:dyDescent="0.25">
      <c r="A65" s="84" t="s">
        <v>19</v>
      </c>
      <c r="B65" s="53"/>
      <c r="C65" s="175"/>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75"/>
    </row>
    <row r="66" spans="1:1506" ht="20.100000000000001" customHeight="1" x14ac:dyDescent="0.3">
      <c r="A66" s="84" t="s">
        <v>20</v>
      </c>
      <c r="B66" s="53"/>
      <c r="C66" s="176"/>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75"/>
    </row>
    <row r="67" spans="1:1506" ht="20.100000000000001" customHeight="1" x14ac:dyDescent="0.25">
      <c r="A67" s="84" t="s">
        <v>19</v>
      </c>
      <c r="B67" s="53"/>
      <c r="C67" s="175"/>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75"/>
    </row>
    <row r="68" spans="1:1506" ht="20.100000000000001" customHeight="1" x14ac:dyDescent="0.25">
      <c r="A68" s="84" t="s">
        <v>20</v>
      </c>
      <c r="B68" s="53"/>
      <c r="C68" s="177"/>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75"/>
    </row>
    <row r="69" spans="1:1506" ht="20.100000000000001" customHeight="1" x14ac:dyDescent="0.25">
      <c r="A69" s="84" t="s">
        <v>19</v>
      </c>
      <c r="B69" s="53"/>
      <c r="C69" s="175"/>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75"/>
    </row>
    <row r="70" spans="1:1506" ht="20.100000000000001" customHeight="1" x14ac:dyDescent="0.3">
      <c r="A70" s="84" t="s">
        <v>20</v>
      </c>
      <c r="B70" s="53"/>
      <c r="C70" s="176"/>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75"/>
    </row>
    <row r="71" spans="1:1506" ht="20.100000000000001" customHeight="1" x14ac:dyDescent="0.25">
      <c r="A71" s="84" t="s">
        <v>19</v>
      </c>
      <c r="B71" s="53"/>
      <c r="C71" s="175"/>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75"/>
    </row>
    <row r="72" spans="1:1506" ht="20.100000000000001" customHeight="1" x14ac:dyDescent="0.25">
      <c r="A72" s="84" t="s">
        <v>20</v>
      </c>
      <c r="B72" s="53"/>
      <c r="C72" s="177"/>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75"/>
    </row>
    <row r="73" spans="1:1506" ht="20.100000000000001" customHeight="1" x14ac:dyDescent="0.25">
      <c r="A73" s="84" t="s">
        <v>19</v>
      </c>
      <c r="B73" s="53"/>
      <c r="C73" s="175"/>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75"/>
    </row>
    <row r="74" spans="1:1506" ht="20.100000000000001" customHeight="1" x14ac:dyDescent="0.3">
      <c r="A74" s="84" t="s">
        <v>20</v>
      </c>
      <c r="B74" s="53"/>
      <c r="C74" s="176"/>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75"/>
    </row>
    <row r="75" spans="1:1506" ht="20.100000000000001" customHeight="1" x14ac:dyDescent="0.25">
      <c r="A75" s="84" t="s">
        <v>19</v>
      </c>
      <c r="B75" s="53"/>
      <c r="C75" s="175"/>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75"/>
    </row>
    <row r="76" spans="1:1506" ht="20.100000000000001" customHeight="1" x14ac:dyDescent="0.3">
      <c r="A76" s="84" t="s">
        <v>20</v>
      </c>
      <c r="B76" s="53"/>
      <c r="C76" s="176"/>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75"/>
    </row>
    <row r="77" spans="1:1506" ht="20.100000000000001" customHeight="1" x14ac:dyDescent="0.25">
      <c r="A77" s="84" t="s">
        <v>19</v>
      </c>
      <c r="B77" s="53"/>
      <c r="C77" s="175"/>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75"/>
    </row>
    <row r="78" spans="1:1506" ht="20.100000000000001" customHeight="1" x14ac:dyDescent="0.25">
      <c r="A78" s="84" t="s">
        <v>20</v>
      </c>
      <c r="B78" s="53"/>
      <c r="C78" s="177"/>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75"/>
    </row>
    <row r="79" spans="1:1506" ht="20.100000000000001" customHeight="1" x14ac:dyDescent="0.25">
      <c r="A79" s="84" t="s">
        <v>19</v>
      </c>
      <c r="B79" s="53"/>
      <c r="C79" s="175"/>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75"/>
    </row>
    <row r="80" spans="1:1506" ht="20.100000000000001" customHeight="1" x14ac:dyDescent="0.3">
      <c r="A80" s="84" t="s">
        <v>20</v>
      </c>
      <c r="B80" s="53"/>
      <c r="C80" s="176"/>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75"/>
    </row>
    <row r="81" spans="1:1506" ht="20.100000000000001" customHeight="1" x14ac:dyDescent="0.25">
      <c r="A81" s="84" t="s">
        <v>19</v>
      </c>
      <c r="B81" s="53"/>
      <c r="C81" s="175"/>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75"/>
    </row>
    <row r="82" spans="1:1506" ht="20.100000000000001" customHeight="1" x14ac:dyDescent="0.3">
      <c r="A82" s="84" t="s">
        <v>20</v>
      </c>
      <c r="B82" s="53"/>
      <c r="C82" s="176"/>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75"/>
    </row>
    <row r="83" spans="1:1506" ht="20.100000000000001" customHeight="1" x14ac:dyDescent="0.25">
      <c r="A83" s="84" t="s">
        <v>19</v>
      </c>
      <c r="B83" s="53"/>
      <c r="C83" s="175"/>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75"/>
    </row>
    <row r="84" spans="1:1506" ht="20.100000000000001" customHeight="1" x14ac:dyDescent="0.25">
      <c r="A84" s="84" t="s">
        <v>20</v>
      </c>
      <c r="B84" s="53"/>
      <c r="C84" s="177"/>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75"/>
    </row>
    <row r="85" spans="1:1506" ht="20.100000000000001" customHeight="1" x14ac:dyDescent="0.25">
      <c r="A85" s="84" t="s">
        <v>19</v>
      </c>
      <c r="B85" s="53"/>
      <c r="C85" s="175"/>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75"/>
    </row>
    <row r="86" spans="1:1506" ht="20.100000000000001" customHeight="1" x14ac:dyDescent="0.3">
      <c r="A86" s="84" t="s">
        <v>20</v>
      </c>
      <c r="B86" s="53"/>
      <c r="C86" s="176"/>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75"/>
    </row>
    <row r="87" spans="1:1506" ht="20.100000000000001" customHeight="1" x14ac:dyDescent="0.25">
      <c r="A87" s="84" t="s">
        <v>19</v>
      </c>
      <c r="B87" s="53"/>
      <c r="C87" s="175"/>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75"/>
    </row>
    <row r="88" spans="1:1506" ht="20.100000000000001" customHeight="1" x14ac:dyDescent="0.25">
      <c r="A88" s="84" t="s">
        <v>20</v>
      </c>
      <c r="B88" s="53"/>
      <c r="C88" s="177"/>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75"/>
    </row>
    <row r="89" spans="1:1506" ht="20.100000000000001" customHeight="1" x14ac:dyDescent="0.25">
      <c r="A89" s="84" t="s">
        <v>19</v>
      </c>
      <c r="B89" s="53"/>
      <c r="C89" s="175"/>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75"/>
    </row>
    <row r="90" spans="1:1506" ht="20.100000000000001" customHeight="1" x14ac:dyDescent="0.3">
      <c r="A90" s="84" t="s">
        <v>20</v>
      </c>
      <c r="B90" s="53"/>
      <c r="C90" s="176"/>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75"/>
    </row>
    <row r="91" spans="1:1506" ht="20.100000000000001" customHeight="1" x14ac:dyDescent="0.25">
      <c r="A91" s="84" t="s">
        <v>19</v>
      </c>
      <c r="B91" s="53"/>
      <c r="C91" s="175"/>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75"/>
    </row>
    <row r="92" spans="1:1506" ht="20.100000000000001" customHeight="1" x14ac:dyDescent="0.3">
      <c r="A92" s="84" t="s">
        <v>20</v>
      </c>
      <c r="B92" s="53"/>
      <c r="C92" s="176"/>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75"/>
    </row>
    <row r="93" spans="1:1506" ht="20.100000000000001" customHeight="1" x14ac:dyDescent="0.25">
      <c r="A93" s="84" t="s">
        <v>19</v>
      </c>
      <c r="B93" s="53"/>
      <c r="C93" s="175"/>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75"/>
    </row>
    <row r="94" spans="1:1506" ht="20.100000000000001" customHeight="1" x14ac:dyDescent="0.25">
      <c r="A94" s="84" t="s">
        <v>20</v>
      </c>
      <c r="B94" s="53"/>
      <c r="C94" s="177"/>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75"/>
    </row>
    <row r="95" spans="1:1506" ht="20.100000000000001" customHeight="1" x14ac:dyDescent="0.25">
      <c r="B95" s="53"/>
      <c r="C95" s="171" t="s">
        <v>9</v>
      </c>
      <c r="D95" s="172"/>
      <c r="E95" s="101">
        <f>SUM(E15,E17,E19,E21,E23,E25,E27,E29,E31,E33,E35,E37,E39,E41,E43,E45,E47,E49,E51,E53,E55,E57,E59,E61,E63,E65,E67,E69,E71,E73,E75,E77,E79,E81,E83,E85,E87,E89,E91,E93)</f>
        <v>1000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75"/>
    </row>
    <row r="96" spans="1:1506" ht="20.100000000000001" customHeight="1" thickBot="1" x14ac:dyDescent="0.3">
      <c r="B96" s="53"/>
      <c r="C96" s="173"/>
      <c r="D96" s="174"/>
      <c r="E96" s="107" t="str">
        <f xml:space="preserve"> setValueToTime(E95)</f>
        <v>83h20min</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75"/>
    </row>
    <row r="97" spans="2:1506" ht="20.100000000000001" customHeight="1" x14ac:dyDescent="0.25">
      <c r="B97" s="53"/>
      <c r="C97" s="178" t="s">
        <v>10</v>
      </c>
      <c r="D97" s="179"/>
      <c r="E97" s="102">
        <f>SUM(E16,E18,E20,E22,E24,E26,E28,E30,E32,E34,E36,E38,E40,E42,E44,E46,E48,E50,E52,E54,E56,E58,E60,E62,E64,E66,E68,E70,E72,E74,E76,E78,E80,E82,E84,E86,E88,E90,E92,E94)</f>
        <v>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108"/>
    </row>
    <row r="98" spans="2:1506" ht="20.100000000000001" customHeight="1" thickBot="1" x14ac:dyDescent="0.3">
      <c r="B98" s="53"/>
      <c r="C98" s="180"/>
      <c r="D98" s="181"/>
      <c r="E98" s="106" t="str">
        <f xml:space="preserve"> setValueToTime(E97)</f>
        <v>0h</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75"/>
    </row>
    <row r="99" spans="2:150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6"/>
    </row>
  </sheetData>
  <sheetProtection insertRows="0" insertHyperlinks="0" selectLockedCells="1"/>
  <mergeCells count="375">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44</xdr:col>
                <xdr:colOff>28575</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01"/>
  <sheetViews>
    <sheetView showGridLines="0" zoomScale="115" zoomScaleNormal="115" zoomScaleSheetLayoutView="98" workbookViewId="0">
      <pane ySplit="1" topLeftCell="A2" activePane="bottomLeft" state="frozen"/>
      <selection activeCell="BC13" sqref="BC13"/>
      <selection pane="bottomLeft" activeCell="A16" sqref="A16:B17"/>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28.42578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11</v>
      </c>
      <c r="B2" s="146">
        <v>25</v>
      </c>
      <c r="C2" s="146"/>
      <c r="D2" s="67" t="s">
        <v>14</v>
      </c>
      <c r="E2" s="79">
        <v>45446</v>
      </c>
      <c r="F2" s="110" t="s">
        <v>77</v>
      </c>
      <c r="G2" s="39"/>
    </row>
    <row r="3" spans="1:7" s="40" customFormat="1" ht="30" customHeight="1" thickBot="1" x14ac:dyDescent="0.3">
      <c r="A3" s="65" t="s">
        <v>5</v>
      </c>
      <c r="B3" s="133" t="s">
        <v>40</v>
      </c>
      <c r="C3" s="134"/>
      <c r="D3" s="65" t="s">
        <v>12</v>
      </c>
      <c r="E3" s="195" t="s">
        <v>13</v>
      </c>
      <c r="F3" s="196"/>
      <c r="G3" s="39"/>
    </row>
    <row r="4" spans="1:7" s="44" customFormat="1" x14ac:dyDescent="0.3">
      <c r="A4" s="41" t="s">
        <v>15</v>
      </c>
      <c r="B4" s="42">
        <v>47</v>
      </c>
      <c r="C4" s="135" t="str">
        <f xml:space="preserve"> IF(B4="","",setValueToTime(B4))</f>
        <v>3h55min</v>
      </c>
      <c r="D4" s="43" t="s">
        <v>79</v>
      </c>
      <c r="E4" s="197"/>
      <c r="F4" s="198"/>
      <c r="G4" s="3"/>
    </row>
    <row r="5" spans="1:7" s="44" customFormat="1" x14ac:dyDescent="0.3">
      <c r="A5" s="45" t="s">
        <v>16</v>
      </c>
      <c r="B5" s="46">
        <v>1</v>
      </c>
      <c r="C5" s="136" t="str">
        <f t="shared" ref="C5:C11" si="0" xml:space="preserve"> IF(B5="","",setValueToTime(B5))</f>
        <v>0h5min</v>
      </c>
      <c r="D5" s="47" t="s">
        <v>60</v>
      </c>
      <c r="E5" s="199"/>
      <c r="F5" s="200"/>
      <c r="G5" s="3"/>
    </row>
    <row r="6" spans="1:7" s="44" customFormat="1" x14ac:dyDescent="0.3">
      <c r="A6" s="45"/>
      <c r="B6" s="46"/>
      <c r="C6" s="136" t="str">
        <f t="shared" si="0"/>
        <v/>
      </c>
      <c r="D6" s="47"/>
      <c r="E6" s="199"/>
      <c r="F6" s="200"/>
      <c r="G6" s="3"/>
    </row>
    <row r="7" spans="1:7" s="44" customFormat="1" x14ac:dyDescent="0.3">
      <c r="A7" s="45"/>
      <c r="B7" s="46"/>
      <c r="C7" s="136" t="str">
        <f t="shared" si="0"/>
        <v/>
      </c>
      <c r="D7" s="47"/>
      <c r="E7" s="199"/>
      <c r="F7" s="200"/>
      <c r="G7" s="3"/>
    </row>
    <row r="8" spans="1:7" s="44" customFormat="1" x14ac:dyDescent="0.3">
      <c r="A8" s="46"/>
      <c r="B8" s="46"/>
      <c r="C8" s="137" t="str">
        <f t="shared" si="0"/>
        <v/>
      </c>
      <c r="D8" s="47"/>
      <c r="E8" s="199"/>
      <c r="F8" s="200"/>
      <c r="G8" s="3"/>
    </row>
    <row r="9" spans="1:7" s="44" customFormat="1" x14ac:dyDescent="0.3">
      <c r="A9" s="46"/>
      <c r="B9" s="46"/>
      <c r="C9" s="137" t="str">
        <f t="shared" si="0"/>
        <v/>
      </c>
      <c r="D9" s="47"/>
      <c r="E9" s="199"/>
      <c r="F9" s="200"/>
      <c r="G9" s="3"/>
    </row>
    <row r="10" spans="1:7" s="44" customFormat="1" x14ac:dyDescent="0.3">
      <c r="A10" s="46"/>
      <c r="B10" s="46"/>
      <c r="C10" s="137" t="str">
        <f t="shared" si="0"/>
        <v/>
      </c>
      <c r="D10" s="47"/>
      <c r="E10" s="199"/>
      <c r="F10" s="200"/>
      <c r="G10" s="3"/>
    </row>
    <row r="11" spans="1:7" s="44" customFormat="1" ht="15" thickBot="1" x14ac:dyDescent="0.35">
      <c r="A11" s="48"/>
      <c r="B11" s="48"/>
      <c r="C11" s="138" t="str">
        <f t="shared" si="0"/>
        <v/>
      </c>
      <c r="D11" s="49"/>
      <c r="E11" s="203"/>
      <c r="F11" s="204"/>
      <c r="G11" s="3"/>
    </row>
    <row r="12" spans="1:7" s="44" customFormat="1" ht="15" thickBot="1" x14ac:dyDescent="0.35">
      <c r="A12" s="95" t="s">
        <v>28</v>
      </c>
      <c r="B12" s="69">
        <f>SUM(B4:B11)</f>
        <v>48</v>
      </c>
      <c r="C12" s="95" t="str">
        <f xml:space="preserve"> setValueToTime(B12)</f>
        <v>4h</v>
      </c>
      <c r="D12" s="104"/>
      <c r="E12" s="201"/>
      <c r="F12" s="202"/>
      <c r="G12" s="3"/>
    </row>
    <row r="13" spans="1:7" s="44" customFormat="1" ht="15" thickBot="1" x14ac:dyDescent="0.35">
      <c r="A13" s="64"/>
      <c r="B13" s="64"/>
      <c r="C13" s="64"/>
      <c r="D13" s="64"/>
      <c r="E13" s="64"/>
      <c r="F13" s="64"/>
      <c r="G13" s="3"/>
    </row>
    <row r="14" spans="1:7" s="40" customFormat="1" ht="30" customHeight="1" thickBot="1" x14ac:dyDescent="0.3">
      <c r="A14" s="66" t="s">
        <v>11</v>
      </c>
      <c r="B14" s="146">
        <v>24</v>
      </c>
      <c r="C14" s="146"/>
      <c r="D14" s="67" t="s">
        <v>14</v>
      </c>
      <c r="E14" s="79">
        <v>45443</v>
      </c>
      <c r="F14" s="110" t="s">
        <v>53</v>
      </c>
      <c r="G14" s="39"/>
    </row>
    <row r="15" spans="1:7" s="40" customFormat="1" ht="30" customHeight="1" thickBot="1" x14ac:dyDescent="0.3">
      <c r="A15" s="65" t="s">
        <v>5</v>
      </c>
      <c r="B15" s="133" t="s">
        <v>40</v>
      </c>
      <c r="C15" s="134"/>
      <c r="D15" s="65" t="s">
        <v>12</v>
      </c>
      <c r="E15" s="195" t="s">
        <v>13</v>
      </c>
      <c r="F15" s="196"/>
      <c r="G15" s="39"/>
    </row>
    <row r="16" spans="1:7" s="44" customFormat="1" x14ac:dyDescent="0.3">
      <c r="A16" s="41" t="s">
        <v>15</v>
      </c>
      <c r="B16" s="42">
        <v>37</v>
      </c>
      <c r="C16" s="135" t="str">
        <f xml:space="preserve"> IF(B16="","",setValueToTime(B16))</f>
        <v>3h5min</v>
      </c>
      <c r="D16" s="43" t="s">
        <v>78</v>
      </c>
      <c r="E16" s="197"/>
      <c r="F16" s="198"/>
      <c r="G16" s="3"/>
    </row>
    <row r="17" spans="1:7" s="44" customFormat="1" x14ac:dyDescent="0.3">
      <c r="A17" s="45" t="s">
        <v>16</v>
      </c>
      <c r="B17" s="46">
        <v>1</v>
      </c>
      <c r="C17" s="136" t="str">
        <f t="shared" ref="C17:C23" si="1" xml:space="preserve"> IF(B17="","",setValueToTime(B17))</f>
        <v>0h5min</v>
      </c>
      <c r="D17" s="47" t="s">
        <v>60</v>
      </c>
      <c r="E17" s="199"/>
      <c r="F17" s="200"/>
      <c r="G17" s="3"/>
    </row>
    <row r="18" spans="1:7" s="44" customFormat="1" x14ac:dyDescent="0.3">
      <c r="A18" s="45"/>
      <c r="B18" s="46"/>
      <c r="C18" s="136" t="str">
        <f t="shared" si="1"/>
        <v/>
      </c>
      <c r="D18" s="47"/>
      <c r="E18" s="199"/>
      <c r="F18" s="200"/>
      <c r="G18" s="3"/>
    </row>
    <row r="19" spans="1:7" s="44" customFormat="1" x14ac:dyDescent="0.3">
      <c r="A19" s="45"/>
      <c r="B19" s="46"/>
      <c r="C19" s="136" t="str">
        <f t="shared" si="1"/>
        <v/>
      </c>
      <c r="D19" s="47"/>
      <c r="E19" s="199"/>
      <c r="F19" s="200"/>
      <c r="G19" s="3"/>
    </row>
    <row r="20" spans="1:7" s="44" customFormat="1" x14ac:dyDescent="0.3">
      <c r="A20" s="46"/>
      <c r="B20" s="46"/>
      <c r="C20" s="137" t="str">
        <f t="shared" si="1"/>
        <v/>
      </c>
      <c r="D20" s="47"/>
      <c r="E20" s="199"/>
      <c r="F20" s="200"/>
      <c r="G20" s="3"/>
    </row>
    <row r="21" spans="1:7" s="44" customFormat="1" x14ac:dyDescent="0.3">
      <c r="A21" s="46"/>
      <c r="B21" s="46"/>
      <c r="C21" s="137" t="str">
        <f t="shared" si="1"/>
        <v/>
      </c>
      <c r="D21" s="47"/>
      <c r="E21" s="199"/>
      <c r="F21" s="200"/>
      <c r="G21" s="3"/>
    </row>
    <row r="22" spans="1:7" s="44" customFormat="1" x14ac:dyDescent="0.3">
      <c r="A22" s="46"/>
      <c r="B22" s="46"/>
      <c r="C22" s="137" t="str">
        <f t="shared" si="1"/>
        <v/>
      </c>
      <c r="D22" s="47"/>
      <c r="E22" s="199"/>
      <c r="F22" s="200"/>
      <c r="G22" s="3"/>
    </row>
    <row r="23" spans="1:7" s="44" customFormat="1" ht="15" thickBot="1" x14ac:dyDescent="0.35">
      <c r="A23" s="48"/>
      <c r="B23" s="48"/>
      <c r="C23" s="138" t="str">
        <f t="shared" si="1"/>
        <v/>
      </c>
      <c r="D23" s="49"/>
      <c r="E23" s="203"/>
      <c r="F23" s="204"/>
      <c r="G23" s="3"/>
    </row>
    <row r="24" spans="1:7" s="44" customFormat="1" ht="15" thickBot="1" x14ac:dyDescent="0.35">
      <c r="A24" s="95" t="s">
        <v>28</v>
      </c>
      <c r="B24" s="69">
        <f>SUM(B16:B23)</f>
        <v>38</v>
      </c>
      <c r="C24" s="95" t="str">
        <f xml:space="preserve"> setValueToTime(B24)</f>
        <v>3h10min</v>
      </c>
      <c r="D24" s="104"/>
      <c r="E24" s="201"/>
      <c r="F24" s="202"/>
      <c r="G24" s="3"/>
    </row>
    <row r="25" spans="1:7" s="44" customFormat="1" ht="15" thickBot="1" x14ac:dyDescent="0.35">
      <c r="A25" s="64"/>
      <c r="B25" s="64"/>
      <c r="C25" s="64"/>
      <c r="D25" s="64"/>
      <c r="E25" s="64"/>
      <c r="F25" s="64"/>
      <c r="G25" s="3"/>
    </row>
    <row r="26" spans="1:7" s="40" customFormat="1" ht="30" customHeight="1" thickBot="1" x14ac:dyDescent="0.3">
      <c r="A26" s="66" t="s">
        <v>11</v>
      </c>
      <c r="B26" s="146">
        <v>23</v>
      </c>
      <c r="C26" s="146"/>
      <c r="D26" s="67" t="s">
        <v>14</v>
      </c>
      <c r="E26" s="79">
        <v>45443</v>
      </c>
      <c r="F26" s="110" t="s">
        <v>56</v>
      </c>
      <c r="G26" s="39"/>
    </row>
    <row r="27" spans="1:7" s="40" customFormat="1" ht="30" customHeight="1" thickBot="1" x14ac:dyDescent="0.3">
      <c r="A27" s="65" t="s">
        <v>5</v>
      </c>
      <c r="B27" s="133" t="s">
        <v>40</v>
      </c>
      <c r="C27" s="134"/>
      <c r="D27" s="65" t="s">
        <v>12</v>
      </c>
      <c r="E27" s="195" t="s">
        <v>13</v>
      </c>
      <c r="F27" s="196"/>
      <c r="G27" s="39"/>
    </row>
    <row r="28" spans="1:7" s="44" customFormat="1" x14ac:dyDescent="0.3">
      <c r="A28" s="41" t="s">
        <v>15</v>
      </c>
      <c r="B28" s="42">
        <v>47</v>
      </c>
      <c r="C28" s="135" t="str">
        <f xml:space="preserve"> IF(B28="","",setValueToTime(B28))</f>
        <v>3h55min</v>
      </c>
      <c r="D28" s="43" t="s">
        <v>78</v>
      </c>
      <c r="E28" s="197"/>
      <c r="F28" s="198"/>
      <c r="G28" s="3"/>
    </row>
    <row r="29" spans="1:7" s="44" customFormat="1" x14ac:dyDescent="0.3">
      <c r="A29" s="45" t="s">
        <v>16</v>
      </c>
      <c r="B29" s="46">
        <v>1</v>
      </c>
      <c r="C29" s="136" t="str">
        <f t="shared" ref="C29:C35" si="2" xml:space="preserve"> IF(B29="","",setValueToTime(B29))</f>
        <v>0h5min</v>
      </c>
      <c r="D29" s="47" t="s">
        <v>60</v>
      </c>
      <c r="E29" s="199"/>
      <c r="F29" s="200"/>
      <c r="G29" s="3"/>
    </row>
    <row r="30" spans="1:7" s="44" customFormat="1" x14ac:dyDescent="0.3">
      <c r="A30" s="45"/>
      <c r="B30" s="46"/>
      <c r="C30" s="136" t="str">
        <f t="shared" si="2"/>
        <v/>
      </c>
      <c r="D30" s="47"/>
      <c r="E30" s="199"/>
      <c r="F30" s="200"/>
      <c r="G30" s="3"/>
    </row>
    <row r="31" spans="1:7" s="44" customFormat="1" x14ac:dyDescent="0.3">
      <c r="A31" s="45"/>
      <c r="B31" s="46"/>
      <c r="C31" s="136" t="str">
        <f t="shared" si="2"/>
        <v/>
      </c>
      <c r="D31" s="47"/>
      <c r="E31" s="199"/>
      <c r="F31" s="200"/>
      <c r="G31" s="3"/>
    </row>
    <row r="32" spans="1:7" s="44" customFormat="1" x14ac:dyDescent="0.3">
      <c r="A32" s="46"/>
      <c r="B32" s="46"/>
      <c r="C32" s="137" t="str">
        <f t="shared" si="2"/>
        <v/>
      </c>
      <c r="D32" s="47"/>
      <c r="E32" s="199"/>
      <c r="F32" s="200"/>
      <c r="G32" s="3"/>
    </row>
    <row r="33" spans="1:7" s="44" customFormat="1" x14ac:dyDescent="0.3">
      <c r="A33" s="46"/>
      <c r="B33" s="46"/>
      <c r="C33" s="137" t="str">
        <f t="shared" si="2"/>
        <v/>
      </c>
      <c r="D33" s="47"/>
      <c r="E33" s="199"/>
      <c r="F33" s="200"/>
      <c r="G33" s="3"/>
    </row>
    <row r="34" spans="1:7" s="44" customFormat="1" x14ac:dyDescent="0.3">
      <c r="A34" s="46"/>
      <c r="B34" s="46"/>
      <c r="C34" s="137" t="str">
        <f t="shared" si="2"/>
        <v/>
      </c>
      <c r="D34" s="47"/>
      <c r="E34" s="199"/>
      <c r="F34" s="200"/>
      <c r="G34" s="3"/>
    </row>
    <row r="35" spans="1:7" s="44" customFormat="1" ht="15" thickBot="1" x14ac:dyDescent="0.35">
      <c r="A35" s="48"/>
      <c r="B35" s="48"/>
      <c r="C35" s="138" t="str">
        <f t="shared" si="2"/>
        <v/>
      </c>
      <c r="D35" s="49"/>
      <c r="E35" s="203"/>
      <c r="F35" s="204"/>
      <c r="G35" s="3"/>
    </row>
    <row r="36" spans="1:7" s="44" customFormat="1" ht="15" thickBot="1" x14ac:dyDescent="0.35">
      <c r="A36" s="95" t="s">
        <v>28</v>
      </c>
      <c r="B36" s="69">
        <f>SUM(B28:B35)</f>
        <v>48</v>
      </c>
      <c r="C36" s="95" t="str">
        <f xml:space="preserve"> setValueToTime(B36)</f>
        <v>4h</v>
      </c>
      <c r="D36" s="104"/>
      <c r="E36" s="201"/>
      <c r="F36" s="202"/>
      <c r="G36" s="3"/>
    </row>
    <row r="37" spans="1:7" s="44" customFormat="1" ht="15" thickBot="1" x14ac:dyDescent="0.35">
      <c r="A37" s="64"/>
      <c r="B37" s="64"/>
      <c r="C37" s="64"/>
      <c r="D37" s="64"/>
      <c r="E37" s="64"/>
      <c r="F37" s="64"/>
      <c r="G37" s="3"/>
    </row>
    <row r="38" spans="1:7" s="40" customFormat="1" ht="30" customHeight="1" thickBot="1" x14ac:dyDescent="0.3">
      <c r="A38" s="66" t="s">
        <v>11</v>
      </c>
      <c r="B38" s="146">
        <v>22</v>
      </c>
      <c r="C38" s="146"/>
      <c r="D38" s="67" t="s">
        <v>14</v>
      </c>
      <c r="E38" s="79">
        <v>45442</v>
      </c>
      <c r="F38" s="110" t="s">
        <v>53</v>
      </c>
      <c r="G38" s="39"/>
    </row>
    <row r="39" spans="1:7" s="40" customFormat="1" ht="30" customHeight="1" thickBot="1" x14ac:dyDescent="0.3">
      <c r="A39" s="65" t="s">
        <v>5</v>
      </c>
      <c r="B39" s="133" t="s">
        <v>40</v>
      </c>
      <c r="C39" s="134"/>
      <c r="D39" s="65" t="s">
        <v>12</v>
      </c>
      <c r="E39" s="195" t="s">
        <v>13</v>
      </c>
      <c r="F39" s="196"/>
      <c r="G39" s="39"/>
    </row>
    <row r="40" spans="1:7" s="44" customFormat="1" x14ac:dyDescent="0.3">
      <c r="A40" s="41" t="s">
        <v>47</v>
      </c>
      <c r="B40" s="42">
        <v>25</v>
      </c>
      <c r="C40" s="135" t="str">
        <f xml:space="preserve"> IF(B40="","",setValueToTime(B40))</f>
        <v>2h5min</v>
      </c>
      <c r="D40" s="43" t="s">
        <v>80</v>
      </c>
      <c r="E40" s="197"/>
      <c r="F40" s="198"/>
      <c r="G40" s="3"/>
    </row>
    <row r="41" spans="1:7" s="44" customFormat="1" x14ac:dyDescent="0.3">
      <c r="A41" s="45" t="s">
        <v>15</v>
      </c>
      <c r="B41" s="46">
        <v>12</v>
      </c>
      <c r="C41" s="136" t="str">
        <f xml:space="preserve"> IF(B41="","",setValueToTime(B41))</f>
        <v>1h</v>
      </c>
      <c r="D41" s="47" t="s">
        <v>74</v>
      </c>
      <c r="E41" s="199"/>
      <c r="F41" s="200"/>
      <c r="G41" s="3"/>
    </row>
    <row r="42" spans="1:7" s="44" customFormat="1" x14ac:dyDescent="0.3">
      <c r="A42" s="45" t="s">
        <v>16</v>
      </c>
      <c r="B42" s="46">
        <v>1</v>
      </c>
      <c r="C42" s="136" t="str">
        <f xml:space="preserve"> IF(B42="","",setValueToTime(B42))</f>
        <v>0h5min</v>
      </c>
      <c r="D42" s="47" t="s">
        <v>60</v>
      </c>
      <c r="E42" s="199"/>
      <c r="F42" s="200"/>
      <c r="G42" s="3"/>
    </row>
    <row r="43" spans="1:7" s="44" customFormat="1" x14ac:dyDescent="0.3">
      <c r="A43" s="45"/>
      <c r="B43" s="46"/>
      <c r="C43" s="136" t="str">
        <f t="shared" ref="C43:C47" si="3" xml:space="preserve"> IF(B43="","",setValueToTime(B43))</f>
        <v/>
      </c>
      <c r="D43" s="47"/>
      <c r="E43" s="199"/>
      <c r="F43" s="200"/>
      <c r="G43" s="3"/>
    </row>
    <row r="44" spans="1:7" s="44" customFormat="1" x14ac:dyDescent="0.3">
      <c r="A44" s="46"/>
      <c r="B44" s="46"/>
      <c r="C44" s="137" t="str">
        <f t="shared" si="3"/>
        <v/>
      </c>
      <c r="D44" s="47"/>
      <c r="E44" s="199"/>
      <c r="F44" s="200"/>
      <c r="G44" s="3"/>
    </row>
    <row r="45" spans="1:7" s="44" customFormat="1" x14ac:dyDescent="0.3">
      <c r="A45" s="46"/>
      <c r="B45" s="46"/>
      <c r="C45" s="137" t="str">
        <f t="shared" si="3"/>
        <v/>
      </c>
      <c r="D45" s="47"/>
      <c r="E45" s="199"/>
      <c r="F45" s="200"/>
      <c r="G45" s="3"/>
    </row>
    <row r="46" spans="1:7" s="44" customFormat="1" x14ac:dyDescent="0.3">
      <c r="A46" s="46"/>
      <c r="B46" s="46"/>
      <c r="C46" s="137" t="str">
        <f t="shared" si="3"/>
        <v/>
      </c>
      <c r="D46" s="47"/>
      <c r="E46" s="199"/>
      <c r="F46" s="200"/>
      <c r="G46" s="3"/>
    </row>
    <row r="47" spans="1:7" s="44" customFormat="1" ht="15" thickBot="1" x14ac:dyDescent="0.35">
      <c r="A47" s="48"/>
      <c r="B47" s="48"/>
      <c r="C47" s="138" t="str">
        <f t="shared" si="3"/>
        <v/>
      </c>
      <c r="D47" s="49"/>
      <c r="E47" s="203"/>
      <c r="F47" s="204"/>
      <c r="G47" s="3"/>
    </row>
    <row r="48" spans="1:7" s="44" customFormat="1" ht="15" thickBot="1" x14ac:dyDescent="0.35">
      <c r="A48" s="95" t="s">
        <v>28</v>
      </c>
      <c r="B48" s="69">
        <f>SUM(B40:B47)</f>
        <v>38</v>
      </c>
      <c r="C48" s="95" t="str">
        <f xml:space="preserve"> setValueToTime(B48)</f>
        <v>3h10min</v>
      </c>
      <c r="D48" s="104"/>
      <c r="E48" s="201"/>
      <c r="F48" s="202"/>
      <c r="G48" s="3"/>
    </row>
    <row r="49" spans="1:7" s="44" customFormat="1" ht="15" thickBot="1" x14ac:dyDescent="0.35">
      <c r="A49" s="64"/>
      <c r="B49" s="64"/>
      <c r="C49" s="64"/>
      <c r="D49" s="64"/>
      <c r="E49" s="64"/>
      <c r="F49" s="64"/>
      <c r="G49" s="3"/>
    </row>
    <row r="50" spans="1:7" s="40" customFormat="1" ht="30" customHeight="1" thickBot="1" x14ac:dyDescent="0.3">
      <c r="A50" s="66" t="s">
        <v>11</v>
      </c>
      <c r="B50" s="146">
        <v>21</v>
      </c>
      <c r="C50" s="146"/>
      <c r="D50" s="67" t="s">
        <v>14</v>
      </c>
      <c r="E50" s="79">
        <v>45441</v>
      </c>
      <c r="F50" s="110" t="s">
        <v>53</v>
      </c>
      <c r="G50" s="39"/>
    </row>
    <row r="51" spans="1:7" s="40" customFormat="1" ht="30" customHeight="1" thickBot="1" x14ac:dyDescent="0.3">
      <c r="A51" s="65" t="s">
        <v>5</v>
      </c>
      <c r="B51" s="133" t="s">
        <v>40</v>
      </c>
      <c r="C51" s="134"/>
      <c r="D51" s="65" t="s">
        <v>12</v>
      </c>
      <c r="E51" s="195" t="s">
        <v>13</v>
      </c>
      <c r="F51" s="196"/>
      <c r="G51" s="39"/>
    </row>
    <row r="52" spans="1:7" s="44" customFormat="1" ht="27" x14ac:dyDescent="0.3">
      <c r="A52" s="41" t="s">
        <v>46</v>
      </c>
      <c r="B52" s="42">
        <v>31</v>
      </c>
      <c r="C52" s="135" t="str">
        <f xml:space="preserve"> IF(B52="","",setValueToTime(B52))</f>
        <v>2h35min</v>
      </c>
      <c r="D52" s="43" t="s">
        <v>88</v>
      </c>
      <c r="E52" s="197"/>
      <c r="F52" s="198"/>
      <c r="G52" s="3"/>
    </row>
    <row r="53" spans="1:7" s="44" customFormat="1" x14ac:dyDescent="0.3">
      <c r="A53" s="45" t="s">
        <v>15</v>
      </c>
      <c r="B53" s="46">
        <v>6</v>
      </c>
      <c r="C53" s="136" t="str">
        <f t="shared" ref="C53:C59" si="4" xml:space="preserve"> IF(B53="","",setValueToTime(B53))</f>
        <v>0h30min</v>
      </c>
      <c r="D53" s="47" t="s">
        <v>74</v>
      </c>
      <c r="E53" s="199"/>
      <c r="F53" s="200"/>
      <c r="G53" s="3"/>
    </row>
    <row r="54" spans="1:7" s="44" customFormat="1" x14ac:dyDescent="0.3">
      <c r="A54" s="45" t="s">
        <v>16</v>
      </c>
      <c r="B54" s="46">
        <v>1</v>
      </c>
      <c r="C54" s="136" t="str">
        <f t="shared" si="4"/>
        <v>0h5min</v>
      </c>
      <c r="D54" s="47" t="s">
        <v>60</v>
      </c>
      <c r="E54" s="199"/>
      <c r="F54" s="200"/>
      <c r="G54" s="3"/>
    </row>
    <row r="55" spans="1:7" s="44" customFormat="1" x14ac:dyDescent="0.3">
      <c r="A55" s="45"/>
      <c r="B55" s="46"/>
      <c r="C55" s="136" t="str">
        <f t="shared" si="4"/>
        <v/>
      </c>
      <c r="D55" s="47"/>
      <c r="E55" s="199"/>
      <c r="F55" s="200"/>
      <c r="G55" s="3"/>
    </row>
    <row r="56" spans="1:7" s="44" customFormat="1" x14ac:dyDescent="0.3">
      <c r="A56" s="46"/>
      <c r="B56" s="46"/>
      <c r="C56" s="137" t="str">
        <f t="shared" si="4"/>
        <v/>
      </c>
      <c r="D56" s="47"/>
      <c r="E56" s="199"/>
      <c r="F56" s="200"/>
      <c r="G56" s="3"/>
    </row>
    <row r="57" spans="1:7" s="44" customFormat="1" x14ac:dyDescent="0.3">
      <c r="A57" s="46"/>
      <c r="B57" s="46"/>
      <c r="C57" s="137" t="str">
        <f t="shared" si="4"/>
        <v/>
      </c>
      <c r="D57" s="47"/>
      <c r="E57" s="199"/>
      <c r="F57" s="200"/>
      <c r="G57" s="3"/>
    </row>
    <row r="58" spans="1:7" s="44" customFormat="1" x14ac:dyDescent="0.3">
      <c r="A58" s="46"/>
      <c r="B58" s="46"/>
      <c r="C58" s="137" t="str">
        <f t="shared" si="4"/>
        <v/>
      </c>
      <c r="D58" s="47"/>
      <c r="E58" s="199"/>
      <c r="F58" s="200"/>
      <c r="G58" s="3"/>
    </row>
    <row r="59" spans="1:7" s="44" customFormat="1" ht="15" thickBot="1" x14ac:dyDescent="0.35">
      <c r="A59" s="48"/>
      <c r="B59" s="48"/>
      <c r="C59" s="138" t="str">
        <f t="shared" si="4"/>
        <v/>
      </c>
      <c r="D59" s="49"/>
      <c r="E59" s="203"/>
      <c r="F59" s="204"/>
      <c r="G59" s="3"/>
    </row>
    <row r="60" spans="1:7" s="44" customFormat="1" ht="15" thickBot="1" x14ac:dyDescent="0.35">
      <c r="A60" s="95" t="s">
        <v>28</v>
      </c>
      <c r="B60" s="69">
        <f>SUM(B52:B59)</f>
        <v>38</v>
      </c>
      <c r="C60" s="95" t="str">
        <f xml:space="preserve"> setValueToTime(B60)</f>
        <v>3h10min</v>
      </c>
      <c r="D60" s="104"/>
      <c r="E60" s="201"/>
      <c r="F60" s="202"/>
      <c r="G60" s="3"/>
    </row>
    <row r="61" spans="1:7" s="44" customFormat="1" ht="15" thickBot="1" x14ac:dyDescent="0.35">
      <c r="A61" s="64"/>
      <c r="B61" s="64"/>
      <c r="C61" s="64"/>
      <c r="D61" s="64"/>
      <c r="E61" s="64"/>
      <c r="F61" s="64"/>
      <c r="G61" s="3"/>
    </row>
    <row r="62" spans="1:7" s="40" customFormat="1" ht="30" customHeight="1" thickBot="1" x14ac:dyDescent="0.3">
      <c r="A62" s="66" t="s">
        <v>11</v>
      </c>
      <c r="B62" s="146">
        <v>20</v>
      </c>
      <c r="C62" s="146"/>
      <c r="D62" s="67" t="s">
        <v>14</v>
      </c>
      <c r="E62" s="79">
        <v>45441</v>
      </c>
      <c r="F62" s="110" t="s">
        <v>56</v>
      </c>
      <c r="G62" s="39"/>
    </row>
    <row r="63" spans="1:7" s="40" customFormat="1" ht="30" customHeight="1" thickBot="1" x14ac:dyDescent="0.3">
      <c r="A63" s="65" t="s">
        <v>5</v>
      </c>
      <c r="B63" s="133" t="s">
        <v>40</v>
      </c>
      <c r="C63" s="134"/>
      <c r="D63" s="65" t="s">
        <v>12</v>
      </c>
      <c r="E63" s="195" t="s">
        <v>13</v>
      </c>
      <c r="F63" s="196"/>
      <c r="G63" s="39"/>
    </row>
    <row r="64" spans="1:7" s="44" customFormat="1" ht="27" x14ac:dyDescent="0.3">
      <c r="A64" s="41" t="s">
        <v>45</v>
      </c>
      <c r="B64" s="42">
        <v>25</v>
      </c>
      <c r="C64" s="135" t="str">
        <f xml:space="preserve"> IF(B64="","",setValueToTime(B64))</f>
        <v>2h5min</v>
      </c>
      <c r="D64" s="43" t="s">
        <v>92</v>
      </c>
      <c r="E64" s="197"/>
      <c r="F64" s="198"/>
      <c r="G64" s="3"/>
    </row>
    <row r="65" spans="1:7" s="44" customFormat="1" x14ac:dyDescent="0.3">
      <c r="A65" s="45" t="s">
        <v>15</v>
      </c>
      <c r="B65" s="46">
        <v>12</v>
      </c>
      <c r="C65" s="136" t="str">
        <f t="shared" ref="C65:C71" si="5" xml:space="preserve"> IF(B65="","",setValueToTime(B65))</f>
        <v>1h</v>
      </c>
      <c r="D65" s="47" t="s">
        <v>74</v>
      </c>
      <c r="E65" s="199"/>
      <c r="F65" s="200"/>
      <c r="G65" s="3"/>
    </row>
    <row r="66" spans="1:7" s="44" customFormat="1" x14ac:dyDescent="0.3">
      <c r="A66" s="45" t="s">
        <v>16</v>
      </c>
      <c r="B66" s="46">
        <v>1</v>
      </c>
      <c r="C66" s="136" t="str">
        <f t="shared" si="5"/>
        <v>0h5min</v>
      </c>
      <c r="D66" s="47" t="s">
        <v>60</v>
      </c>
      <c r="E66" s="199"/>
      <c r="F66" s="200"/>
      <c r="G66" s="3"/>
    </row>
    <row r="67" spans="1:7" s="44" customFormat="1" x14ac:dyDescent="0.3">
      <c r="A67" s="45"/>
      <c r="B67" s="46"/>
      <c r="C67" s="136" t="str">
        <f t="shared" si="5"/>
        <v/>
      </c>
      <c r="D67" s="47"/>
      <c r="E67" s="199"/>
      <c r="F67" s="200"/>
      <c r="G67" s="3"/>
    </row>
    <row r="68" spans="1:7" s="44" customFormat="1" x14ac:dyDescent="0.3">
      <c r="A68" s="46"/>
      <c r="B68" s="46"/>
      <c r="C68" s="137" t="str">
        <f t="shared" si="5"/>
        <v/>
      </c>
      <c r="D68" s="47"/>
      <c r="E68" s="199"/>
      <c r="F68" s="200"/>
      <c r="G68" s="3"/>
    </row>
    <row r="69" spans="1:7" s="44" customFormat="1" x14ac:dyDescent="0.3">
      <c r="A69" s="46"/>
      <c r="B69" s="46"/>
      <c r="C69" s="137" t="str">
        <f t="shared" si="5"/>
        <v/>
      </c>
      <c r="D69" s="47"/>
      <c r="E69" s="199"/>
      <c r="F69" s="200"/>
      <c r="G69" s="3"/>
    </row>
    <row r="70" spans="1:7" s="44" customFormat="1" x14ac:dyDescent="0.3">
      <c r="A70" s="46"/>
      <c r="B70" s="46"/>
      <c r="C70" s="137" t="str">
        <f t="shared" si="5"/>
        <v/>
      </c>
      <c r="D70" s="47"/>
      <c r="E70" s="199"/>
      <c r="F70" s="200"/>
      <c r="G70" s="3"/>
    </row>
    <row r="71" spans="1:7" s="44" customFormat="1" ht="15" thickBot="1" x14ac:dyDescent="0.35">
      <c r="A71" s="48"/>
      <c r="B71" s="48"/>
      <c r="C71" s="138" t="str">
        <f t="shared" si="5"/>
        <v/>
      </c>
      <c r="D71" s="49"/>
      <c r="E71" s="203"/>
      <c r="F71" s="204"/>
      <c r="G71" s="3"/>
    </row>
    <row r="72" spans="1:7" s="44" customFormat="1" ht="15" thickBot="1" x14ac:dyDescent="0.35">
      <c r="A72" s="95" t="s">
        <v>28</v>
      </c>
      <c r="B72" s="69">
        <f>SUM(B64:B71)</f>
        <v>38</v>
      </c>
      <c r="C72" s="95" t="str">
        <f xml:space="preserve"> setValueToTime(B72)</f>
        <v>3h10min</v>
      </c>
      <c r="D72" s="104"/>
      <c r="E72" s="201"/>
      <c r="F72" s="202"/>
      <c r="G72" s="3"/>
    </row>
    <row r="73" spans="1:7" s="44" customFormat="1" ht="15" thickBot="1" x14ac:dyDescent="0.35">
      <c r="A73" s="64"/>
      <c r="B73" s="64"/>
      <c r="C73" s="64"/>
      <c r="D73" s="64"/>
      <c r="E73" s="64"/>
      <c r="F73" s="64"/>
      <c r="G73" s="3"/>
    </row>
    <row r="74" spans="1:7" s="40" customFormat="1" ht="30" customHeight="1" thickBot="1" x14ac:dyDescent="0.3">
      <c r="A74" s="66" t="s">
        <v>11</v>
      </c>
      <c r="B74" s="146">
        <v>19</v>
      </c>
      <c r="C74" s="146"/>
      <c r="D74" s="67" t="s">
        <v>14</v>
      </c>
      <c r="E74" s="79">
        <v>45436</v>
      </c>
      <c r="F74" s="110" t="s">
        <v>53</v>
      </c>
      <c r="G74" s="39"/>
    </row>
    <row r="75" spans="1:7" s="40" customFormat="1" ht="30" customHeight="1" thickBot="1" x14ac:dyDescent="0.3">
      <c r="A75" s="65" t="s">
        <v>5</v>
      </c>
      <c r="B75" s="133" t="s">
        <v>40</v>
      </c>
      <c r="C75" s="134"/>
      <c r="D75" s="65" t="s">
        <v>12</v>
      </c>
      <c r="E75" s="195" t="s">
        <v>13</v>
      </c>
      <c r="F75" s="196"/>
      <c r="G75" s="39"/>
    </row>
    <row r="76" spans="1:7" s="44" customFormat="1" ht="27" x14ac:dyDescent="0.3">
      <c r="A76" s="41" t="s">
        <v>45</v>
      </c>
      <c r="B76" s="42">
        <v>37</v>
      </c>
      <c r="C76" s="135" t="str">
        <f xml:space="preserve"> IF(B76="","",setValueToTime(B76))</f>
        <v>3h5min</v>
      </c>
      <c r="D76" s="43" t="s">
        <v>91</v>
      </c>
      <c r="E76" s="197"/>
      <c r="F76" s="198"/>
      <c r="G76" s="3"/>
    </row>
    <row r="77" spans="1:7" s="44" customFormat="1" x14ac:dyDescent="0.3">
      <c r="A77" s="45" t="s">
        <v>16</v>
      </c>
      <c r="B77" s="46">
        <v>1</v>
      </c>
      <c r="C77" s="136" t="str">
        <f t="shared" ref="C77:C83" si="6" xml:space="preserve"> IF(B77="","",setValueToTime(B77))</f>
        <v>0h5min</v>
      </c>
      <c r="D77" s="47" t="s">
        <v>60</v>
      </c>
      <c r="E77" s="199"/>
      <c r="F77" s="200"/>
      <c r="G77" s="3"/>
    </row>
    <row r="78" spans="1:7" s="44" customFormat="1" x14ac:dyDescent="0.3">
      <c r="A78" s="45"/>
      <c r="B78" s="46"/>
      <c r="C78" s="136" t="str">
        <f t="shared" si="6"/>
        <v/>
      </c>
      <c r="D78" s="47"/>
      <c r="E78" s="199"/>
      <c r="F78" s="200"/>
      <c r="G78" s="3"/>
    </row>
    <row r="79" spans="1:7" s="44" customFormat="1" x14ac:dyDescent="0.3">
      <c r="A79" s="45"/>
      <c r="B79" s="46"/>
      <c r="C79" s="136" t="str">
        <f t="shared" si="6"/>
        <v/>
      </c>
      <c r="D79" s="47"/>
      <c r="E79" s="199"/>
      <c r="F79" s="200"/>
      <c r="G79" s="3"/>
    </row>
    <row r="80" spans="1:7" s="44" customFormat="1" x14ac:dyDescent="0.3">
      <c r="A80" s="46"/>
      <c r="B80" s="46"/>
      <c r="C80" s="137" t="str">
        <f t="shared" si="6"/>
        <v/>
      </c>
      <c r="D80" s="47"/>
      <c r="E80" s="199"/>
      <c r="F80" s="200"/>
      <c r="G80" s="3"/>
    </row>
    <row r="81" spans="1:7" s="44" customFormat="1" x14ac:dyDescent="0.3">
      <c r="A81" s="46"/>
      <c r="B81" s="46"/>
      <c r="C81" s="137" t="str">
        <f t="shared" si="6"/>
        <v/>
      </c>
      <c r="D81" s="47"/>
      <c r="E81" s="199"/>
      <c r="F81" s="200"/>
      <c r="G81" s="3"/>
    </row>
    <row r="82" spans="1:7" s="44" customFormat="1" x14ac:dyDescent="0.3">
      <c r="A82" s="46"/>
      <c r="B82" s="46"/>
      <c r="C82" s="137" t="str">
        <f t="shared" si="6"/>
        <v/>
      </c>
      <c r="D82" s="47"/>
      <c r="E82" s="199"/>
      <c r="F82" s="200"/>
      <c r="G82" s="3"/>
    </row>
    <row r="83" spans="1:7" s="44" customFormat="1" ht="15" thickBot="1" x14ac:dyDescent="0.35">
      <c r="A83" s="48"/>
      <c r="B83" s="48"/>
      <c r="C83" s="138" t="str">
        <f t="shared" si="6"/>
        <v/>
      </c>
      <c r="D83" s="49"/>
      <c r="E83" s="203"/>
      <c r="F83" s="204"/>
      <c r="G83" s="3"/>
    </row>
    <row r="84" spans="1:7" s="44" customFormat="1" ht="15" thickBot="1" x14ac:dyDescent="0.35">
      <c r="A84" s="95" t="s">
        <v>28</v>
      </c>
      <c r="B84" s="69">
        <f>SUM(B76:B83)</f>
        <v>38</v>
      </c>
      <c r="C84" s="95" t="str">
        <f xml:space="preserve"> setValueToTime(B84)</f>
        <v>3h10min</v>
      </c>
      <c r="D84" s="104"/>
      <c r="E84" s="201"/>
      <c r="F84" s="202"/>
      <c r="G84" s="3"/>
    </row>
    <row r="85" spans="1:7" s="44" customFormat="1" ht="15" thickBot="1" x14ac:dyDescent="0.35">
      <c r="A85" s="64"/>
      <c r="B85" s="64"/>
      <c r="C85" s="64"/>
      <c r="D85" s="64"/>
      <c r="E85" s="64"/>
      <c r="F85" s="64"/>
      <c r="G85" s="3"/>
    </row>
    <row r="86" spans="1:7" s="40" customFormat="1" ht="30" customHeight="1" thickBot="1" x14ac:dyDescent="0.3">
      <c r="A86" s="66" t="s">
        <v>11</v>
      </c>
      <c r="B86" s="146">
        <v>18</v>
      </c>
      <c r="C86" s="146"/>
      <c r="D86" s="67" t="s">
        <v>14</v>
      </c>
      <c r="E86" s="79">
        <v>45436</v>
      </c>
      <c r="F86" s="110" t="s">
        <v>56</v>
      </c>
      <c r="G86" s="39"/>
    </row>
    <row r="87" spans="1:7" s="40" customFormat="1" ht="30" customHeight="1" thickBot="1" x14ac:dyDescent="0.3">
      <c r="A87" s="65" t="s">
        <v>5</v>
      </c>
      <c r="B87" s="133" t="s">
        <v>40</v>
      </c>
      <c r="C87" s="134"/>
      <c r="D87" s="65" t="s">
        <v>12</v>
      </c>
      <c r="E87" s="195" t="s">
        <v>13</v>
      </c>
      <c r="F87" s="196"/>
      <c r="G87" s="39"/>
    </row>
    <row r="88" spans="1:7" s="44" customFormat="1" ht="27" x14ac:dyDescent="0.3">
      <c r="A88" s="41" t="s">
        <v>71</v>
      </c>
      <c r="B88" s="42">
        <v>20</v>
      </c>
      <c r="C88" s="135" t="str">
        <f xml:space="preserve"> IF(B88="","",setValueToTime(B88))</f>
        <v>1h40min</v>
      </c>
      <c r="D88" s="43" t="s">
        <v>89</v>
      </c>
      <c r="E88" s="197"/>
      <c r="F88" s="198"/>
      <c r="G88" s="3"/>
    </row>
    <row r="89" spans="1:7" s="44" customFormat="1" ht="27" x14ac:dyDescent="0.3">
      <c r="A89" s="45" t="s">
        <v>70</v>
      </c>
      <c r="B89" s="46">
        <v>20</v>
      </c>
      <c r="C89" s="136" t="str">
        <f t="shared" ref="C89:C95" si="7" xml:space="preserve"> IF(B89="","",setValueToTime(B89))</f>
        <v>1h40min</v>
      </c>
      <c r="D89" s="47" t="s">
        <v>90</v>
      </c>
      <c r="E89" s="199"/>
      <c r="F89" s="200"/>
      <c r="G89" s="3"/>
    </row>
    <row r="90" spans="1:7" s="44" customFormat="1" x14ac:dyDescent="0.3">
      <c r="A90" s="45" t="s">
        <v>15</v>
      </c>
      <c r="B90" s="46">
        <v>7</v>
      </c>
      <c r="C90" s="136" t="str">
        <f t="shared" si="7"/>
        <v>0h35min</v>
      </c>
      <c r="D90" s="47" t="s">
        <v>74</v>
      </c>
      <c r="E90" s="199"/>
      <c r="F90" s="200"/>
      <c r="G90" s="3"/>
    </row>
    <row r="91" spans="1:7" s="44" customFormat="1" x14ac:dyDescent="0.3">
      <c r="A91" s="45" t="s">
        <v>16</v>
      </c>
      <c r="B91" s="46">
        <v>1</v>
      </c>
      <c r="C91" s="136" t="str">
        <f t="shared" si="7"/>
        <v>0h5min</v>
      </c>
      <c r="D91" s="47" t="s">
        <v>60</v>
      </c>
      <c r="E91" s="199"/>
      <c r="F91" s="200"/>
      <c r="G91" s="3"/>
    </row>
    <row r="92" spans="1:7" s="44" customFormat="1" x14ac:dyDescent="0.3">
      <c r="A92" s="46"/>
      <c r="B92" s="46"/>
      <c r="C92" s="137" t="str">
        <f t="shared" si="7"/>
        <v/>
      </c>
      <c r="D92" s="47"/>
      <c r="E92" s="199"/>
      <c r="F92" s="200"/>
      <c r="G92" s="3"/>
    </row>
    <row r="93" spans="1:7" s="44" customFormat="1" x14ac:dyDescent="0.3">
      <c r="A93" s="46"/>
      <c r="B93" s="46"/>
      <c r="C93" s="137" t="str">
        <f t="shared" si="7"/>
        <v/>
      </c>
      <c r="D93" s="47"/>
      <c r="E93" s="199"/>
      <c r="F93" s="200"/>
      <c r="G93" s="3"/>
    </row>
    <row r="94" spans="1:7" s="44" customFormat="1" x14ac:dyDescent="0.3">
      <c r="A94" s="46"/>
      <c r="B94" s="46"/>
      <c r="C94" s="137" t="str">
        <f t="shared" si="7"/>
        <v/>
      </c>
      <c r="D94" s="47"/>
      <c r="E94" s="199"/>
      <c r="F94" s="200"/>
      <c r="G94" s="3"/>
    </row>
    <row r="95" spans="1:7" s="44" customFormat="1" ht="15" thickBot="1" x14ac:dyDescent="0.35">
      <c r="A95" s="48"/>
      <c r="B95" s="48"/>
      <c r="C95" s="138" t="str">
        <f t="shared" si="7"/>
        <v/>
      </c>
      <c r="D95" s="49"/>
      <c r="E95" s="203"/>
      <c r="F95" s="204"/>
      <c r="G95" s="3"/>
    </row>
    <row r="96" spans="1:7" s="44" customFormat="1" ht="15" thickBot="1" x14ac:dyDescent="0.35">
      <c r="A96" s="95" t="s">
        <v>28</v>
      </c>
      <c r="B96" s="69">
        <f>SUM(B88:B95)</f>
        <v>48</v>
      </c>
      <c r="C96" s="95" t="str">
        <f xml:space="preserve"> setValueToTime(B96)</f>
        <v>4h</v>
      </c>
      <c r="D96" s="104"/>
      <c r="E96" s="201"/>
      <c r="F96" s="202"/>
      <c r="G96" s="3"/>
    </row>
    <row r="97" spans="1:7" s="44" customFormat="1" ht="15" thickBot="1" x14ac:dyDescent="0.35">
      <c r="A97" s="64"/>
      <c r="B97" s="64"/>
      <c r="C97" s="64"/>
      <c r="D97" s="64"/>
      <c r="E97" s="64"/>
      <c r="F97" s="64"/>
      <c r="G97" s="3"/>
    </row>
    <row r="98" spans="1:7" s="40" customFormat="1" ht="30" customHeight="1" thickBot="1" x14ac:dyDescent="0.3">
      <c r="A98" s="66" t="s">
        <v>11</v>
      </c>
      <c r="B98" s="146">
        <v>17</v>
      </c>
      <c r="C98" s="146"/>
      <c r="D98" s="67" t="s">
        <v>14</v>
      </c>
      <c r="E98" s="79">
        <v>45435</v>
      </c>
      <c r="F98" s="110" t="s">
        <v>53</v>
      </c>
      <c r="G98" s="39"/>
    </row>
    <row r="99" spans="1:7" s="40" customFormat="1" ht="30" customHeight="1" thickBot="1" x14ac:dyDescent="0.3">
      <c r="A99" s="65" t="s">
        <v>5</v>
      </c>
      <c r="B99" s="133" t="s">
        <v>40</v>
      </c>
      <c r="C99" s="134"/>
      <c r="D99" s="65" t="s">
        <v>12</v>
      </c>
      <c r="E99" s="195" t="s">
        <v>13</v>
      </c>
      <c r="F99" s="196"/>
      <c r="G99" s="39"/>
    </row>
    <row r="100" spans="1:7" s="44" customFormat="1" ht="27" x14ac:dyDescent="0.3">
      <c r="A100" s="41" t="s">
        <v>70</v>
      </c>
      <c r="B100" s="42">
        <v>37</v>
      </c>
      <c r="C100" s="135" t="str">
        <f xml:space="preserve"> IF(B100="","",setValueToTime(B100))</f>
        <v>3h5min</v>
      </c>
      <c r="D100" s="43" t="s">
        <v>87</v>
      </c>
      <c r="E100" s="197"/>
      <c r="F100" s="198"/>
      <c r="G100" s="3"/>
    </row>
    <row r="101" spans="1:7" s="44" customFormat="1" x14ac:dyDescent="0.3">
      <c r="A101" s="45" t="s">
        <v>16</v>
      </c>
      <c r="B101" s="46">
        <v>1</v>
      </c>
      <c r="C101" s="136" t="str">
        <f t="shared" ref="C101:C107" si="8" xml:space="preserve"> IF(B101="","",setValueToTime(B101))</f>
        <v>0h5min</v>
      </c>
      <c r="D101" s="47" t="s">
        <v>60</v>
      </c>
      <c r="E101" s="199"/>
      <c r="F101" s="200"/>
      <c r="G101" s="3"/>
    </row>
    <row r="102" spans="1:7" s="44" customFormat="1" x14ac:dyDescent="0.3">
      <c r="A102" s="45"/>
      <c r="B102" s="46"/>
      <c r="C102" s="136" t="str">
        <f t="shared" si="8"/>
        <v/>
      </c>
      <c r="D102" s="47"/>
      <c r="E102" s="199"/>
      <c r="F102" s="200"/>
      <c r="G102" s="3"/>
    </row>
    <row r="103" spans="1:7" s="44" customFormat="1" x14ac:dyDescent="0.3">
      <c r="A103" s="45"/>
      <c r="B103" s="46"/>
      <c r="C103" s="136" t="str">
        <f t="shared" si="8"/>
        <v/>
      </c>
      <c r="D103" s="47"/>
      <c r="E103" s="199"/>
      <c r="F103" s="200"/>
      <c r="G103" s="3"/>
    </row>
    <row r="104" spans="1:7" s="44" customFormat="1" x14ac:dyDescent="0.3">
      <c r="A104" s="46"/>
      <c r="B104" s="46"/>
      <c r="C104" s="137" t="str">
        <f t="shared" si="8"/>
        <v/>
      </c>
      <c r="D104" s="47"/>
      <c r="E104" s="199"/>
      <c r="F104" s="200"/>
      <c r="G104" s="3"/>
    </row>
    <row r="105" spans="1:7" s="44" customFormat="1" x14ac:dyDescent="0.3">
      <c r="A105" s="46"/>
      <c r="B105" s="46"/>
      <c r="C105" s="137" t="str">
        <f t="shared" si="8"/>
        <v/>
      </c>
      <c r="D105" s="47"/>
      <c r="E105" s="199"/>
      <c r="F105" s="200"/>
      <c r="G105" s="3"/>
    </row>
    <row r="106" spans="1:7" s="44" customFormat="1" x14ac:dyDescent="0.3">
      <c r="A106" s="46"/>
      <c r="B106" s="46"/>
      <c r="C106" s="137" t="str">
        <f t="shared" si="8"/>
        <v/>
      </c>
      <c r="D106" s="47"/>
      <c r="E106" s="199"/>
      <c r="F106" s="200"/>
      <c r="G106" s="3"/>
    </row>
    <row r="107" spans="1:7" s="44" customFormat="1" ht="15" thickBot="1" x14ac:dyDescent="0.35">
      <c r="A107" s="48"/>
      <c r="B107" s="48"/>
      <c r="C107" s="138" t="str">
        <f t="shared" si="8"/>
        <v/>
      </c>
      <c r="D107" s="49"/>
      <c r="E107" s="203"/>
      <c r="F107" s="204"/>
      <c r="G107" s="3"/>
    </row>
    <row r="108" spans="1:7" s="44" customFormat="1" ht="15" thickBot="1" x14ac:dyDescent="0.35">
      <c r="A108" s="95" t="s">
        <v>28</v>
      </c>
      <c r="B108" s="69">
        <f>SUM(B100:B107)</f>
        <v>38</v>
      </c>
      <c r="C108" s="95" t="str">
        <f xml:space="preserve"> setValueToTime(B108)</f>
        <v>3h10min</v>
      </c>
      <c r="D108" s="104"/>
      <c r="E108" s="201"/>
      <c r="F108" s="202"/>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16</v>
      </c>
      <c r="C110" s="146"/>
      <c r="D110" s="67" t="s">
        <v>14</v>
      </c>
      <c r="E110" s="79">
        <v>45434</v>
      </c>
      <c r="F110" s="110" t="s">
        <v>53</v>
      </c>
      <c r="G110" s="39"/>
    </row>
    <row r="111" spans="1:7" s="40" customFormat="1" ht="30" customHeight="1" thickBot="1" x14ac:dyDescent="0.3">
      <c r="A111" s="65" t="s">
        <v>5</v>
      </c>
      <c r="B111" s="133" t="s">
        <v>40</v>
      </c>
      <c r="C111" s="134"/>
      <c r="D111" s="65" t="s">
        <v>12</v>
      </c>
      <c r="E111" s="195" t="s">
        <v>13</v>
      </c>
      <c r="F111" s="196"/>
      <c r="G111" s="39"/>
    </row>
    <row r="112" spans="1:7" s="44" customFormat="1" ht="27" x14ac:dyDescent="0.3">
      <c r="A112" s="41" t="s">
        <v>70</v>
      </c>
      <c r="B112" s="42">
        <v>25</v>
      </c>
      <c r="C112" s="135" t="str">
        <f xml:space="preserve"> IF(B112="","",setValueToTime(B112))</f>
        <v>2h5min</v>
      </c>
      <c r="D112" s="43" t="s">
        <v>86</v>
      </c>
      <c r="E112" s="197"/>
      <c r="F112" s="198"/>
      <c r="G112" s="3"/>
    </row>
    <row r="113" spans="1:7" s="44" customFormat="1" x14ac:dyDescent="0.3">
      <c r="A113" s="45" t="s">
        <v>15</v>
      </c>
      <c r="B113" s="46">
        <v>12</v>
      </c>
      <c r="C113" s="136" t="str">
        <f t="shared" ref="C113:C119" si="9" xml:space="preserve"> IF(B113="","",setValueToTime(B113))</f>
        <v>1h</v>
      </c>
      <c r="D113" s="47" t="s">
        <v>58</v>
      </c>
      <c r="E113" s="199"/>
      <c r="F113" s="200"/>
      <c r="G113" s="3"/>
    </row>
    <row r="114" spans="1:7" s="44" customFormat="1" x14ac:dyDescent="0.3">
      <c r="A114" s="45" t="s">
        <v>16</v>
      </c>
      <c r="B114" s="46">
        <v>1</v>
      </c>
      <c r="C114" s="136" t="str">
        <f t="shared" si="9"/>
        <v>0h5min</v>
      </c>
      <c r="D114" s="47" t="s">
        <v>60</v>
      </c>
      <c r="E114" s="199"/>
      <c r="F114" s="200"/>
      <c r="G114" s="3"/>
    </row>
    <row r="115" spans="1:7" s="44" customFormat="1" x14ac:dyDescent="0.3">
      <c r="A115" s="45"/>
      <c r="B115" s="46"/>
      <c r="C115" s="136" t="str">
        <f t="shared" si="9"/>
        <v/>
      </c>
      <c r="D115" s="47"/>
      <c r="E115" s="199"/>
      <c r="F115" s="200"/>
      <c r="G115" s="3"/>
    </row>
    <row r="116" spans="1:7" s="44" customFormat="1" x14ac:dyDescent="0.3">
      <c r="A116" s="46"/>
      <c r="B116" s="46"/>
      <c r="C116" s="137" t="str">
        <f t="shared" si="9"/>
        <v/>
      </c>
      <c r="D116" s="47"/>
      <c r="E116" s="199"/>
      <c r="F116" s="200"/>
      <c r="G116" s="3"/>
    </row>
    <row r="117" spans="1:7" s="44" customFormat="1" x14ac:dyDescent="0.3">
      <c r="A117" s="46"/>
      <c r="B117" s="46"/>
      <c r="C117" s="137" t="str">
        <f t="shared" si="9"/>
        <v/>
      </c>
      <c r="D117" s="47"/>
      <c r="E117" s="199"/>
      <c r="F117" s="200"/>
      <c r="G117" s="3"/>
    </row>
    <row r="118" spans="1:7" s="44" customFormat="1" x14ac:dyDescent="0.3">
      <c r="A118" s="46"/>
      <c r="B118" s="46"/>
      <c r="C118" s="137" t="str">
        <f t="shared" si="9"/>
        <v/>
      </c>
      <c r="D118" s="47"/>
      <c r="E118" s="199"/>
      <c r="F118" s="200"/>
      <c r="G118" s="3"/>
    </row>
    <row r="119" spans="1:7" s="44" customFormat="1" ht="15" thickBot="1" x14ac:dyDescent="0.35">
      <c r="A119" s="48"/>
      <c r="B119" s="48"/>
      <c r="C119" s="138" t="str">
        <f t="shared" si="9"/>
        <v/>
      </c>
      <c r="D119" s="49"/>
      <c r="E119" s="203"/>
      <c r="F119" s="204"/>
      <c r="G119" s="3"/>
    </row>
    <row r="120" spans="1:7" s="44" customFormat="1" ht="15" thickBot="1" x14ac:dyDescent="0.35">
      <c r="A120" s="95" t="s">
        <v>28</v>
      </c>
      <c r="B120" s="69">
        <f>SUM(B112:B119)</f>
        <v>38</v>
      </c>
      <c r="C120" s="95" t="str">
        <f xml:space="preserve"> setValueToTime(B120)</f>
        <v>3h10min</v>
      </c>
      <c r="D120" s="104"/>
      <c r="E120" s="201"/>
      <c r="F120" s="202"/>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15</v>
      </c>
      <c r="C122" s="146"/>
      <c r="D122" s="67" t="s">
        <v>14</v>
      </c>
      <c r="E122" s="79">
        <v>45434</v>
      </c>
      <c r="F122" s="110" t="s">
        <v>56</v>
      </c>
      <c r="G122" s="39"/>
    </row>
    <row r="123" spans="1:7" s="40" customFormat="1" ht="30" customHeight="1" thickBot="1" x14ac:dyDescent="0.3">
      <c r="A123" s="65" t="s">
        <v>5</v>
      </c>
      <c r="B123" s="133" t="s">
        <v>40</v>
      </c>
      <c r="C123" s="134"/>
      <c r="D123" s="65" t="s">
        <v>12</v>
      </c>
      <c r="E123" s="195" t="s">
        <v>13</v>
      </c>
      <c r="F123" s="196"/>
      <c r="G123" s="39"/>
    </row>
    <row r="124" spans="1:7" s="44" customFormat="1" ht="27" x14ac:dyDescent="0.3">
      <c r="A124" s="41" t="s">
        <v>70</v>
      </c>
      <c r="B124" s="42">
        <v>37</v>
      </c>
      <c r="C124" s="135" t="str">
        <f xml:space="preserve"> IF(B124="","",setValueToTime(B124))</f>
        <v>3h5min</v>
      </c>
      <c r="D124" s="43" t="s">
        <v>85</v>
      </c>
      <c r="E124" s="197"/>
      <c r="F124" s="198"/>
      <c r="G124" s="3"/>
    </row>
    <row r="125" spans="1:7" s="44" customFormat="1" x14ac:dyDescent="0.3">
      <c r="A125" s="45" t="s">
        <v>16</v>
      </c>
      <c r="B125" s="46">
        <v>1</v>
      </c>
      <c r="C125" s="136" t="str">
        <f t="shared" ref="C125:C131" si="10" xml:space="preserve"> IF(B125="","",setValueToTime(B125))</f>
        <v>0h5min</v>
      </c>
      <c r="D125" s="47" t="s">
        <v>60</v>
      </c>
      <c r="E125" s="199"/>
      <c r="F125" s="200"/>
      <c r="G125" s="3"/>
    </row>
    <row r="126" spans="1:7" s="44" customFormat="1" x14ac:dyDescent="0.3">
      <c r="A126" s="45"/>
      <c r="B126" s="46"/>
      <c r="C126" s="136" t="str">
        <f t="shared" si="10"/>
        <v/>
      </c>
      <c r="D126" s="47"/>
      <c r="E126" s="199"/>
      <c r="F126" s="200"/>
      <c r="G126" s="3"/>
    </row>
    <row r="127" spans="1:7" s="44" customFormat="1" x14ac:dyDescent="0.3">
      <c r="A127" s="45"/>
      <c r="B127" s="46"/>
      <c r="C127" s="136" t="str">
        <f t="shared" si="10"/>
        <v/>
      </c>
      <c r="D127" s="47"/>
      <c r="E127" s="199"/>
      <c r="F127" s="200"/>
      <c r="G127" s="3"/>
    </row>
    <row r="128" spans="1:7" s="44" customFormat="1" x14ac:dyDescent="0.3">
      <c r="A128" s="46"/>
      <c r="B128" s="46"/>
      <c r="C128" s="137" t="str">
        <f t="shared" si="10"/>
        <v/>
      </c>
      <c r="D128" s="47"/>
      <c r="E128" s="199"/>
      <c r="F128" s="200"/>
      <c r="G128" s="3"/>
    </row>
    <row r="129" spans="1:7" s="44" customFormat="1" x14ac:dyDescent="0.3">
      <c r="A129" s="46"/>
      <c r="B129" s="46"/>
      <c r="C129" s="137" t="str">
        <f t="shared" si="10"/>
        <v/>
      </c>
      <c r="D129" s="47"/>
      <c r="E129" s="199"/>
      <c r="F129" s="200"/>
      <c r="G129" s="3"/>
    </row>
    <row r="130" spans="1:7" s="44" customFormat="1" x14ac:dyDescent="0.3">
      <c r="A130" s="46"/>
      <c r="B130" s="46"/>
      <c r="C130" s="137" t="str">
        <f t="shared" si="10"/>
        <v/>
      </c>
      <c r="D130" s="47"/>
      <c r="E130" s="199"/>
      <c r="F130" s="200"/>
      <c r="G130" s="3"/>
    </row>
    <row r="131" spans="1:7" s="44" customFormat="1" ht="15" thickBot="1" x14ac:dyDescent="0.35">
      <c r="A131" s="48"/>
      <c r="B131" s="48"/>
      <c r="C131" s="138" t="str">
        <f t="shared" si="10"/>
        <v/>
      </c>
      <c r="D131" s="49"/>
      <c r="E131" s="203"/>
      <c r="F131" s="204"/>
      <c r="G131" s="3"/>
    </row>
    <row r="132" spans="1:7" s="44" customFormat="1" ht="15" thickBot="1" x14ac:dyDescent="0.35">
      <c r="A132" s="95" t="s">
        <v>28</v>
      </c>
      <c r="B132" s="69">
        <f>SUM(B124:B131)</f>
        <v>38</v>
      </c>
      <c r="C132" s="95" t="str">
        <f xml:space="preserve"> setValueToTime(B132)</f>
        <v>3h10min</v>
      </c>
      <c r="D132" s="104"/>
      <c r="E132" s="201"/>
      <c r="F132" s="202"/>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14</v>
      </c>
      <c r="C134" s="146"/>
      <c r="D134" s="67" t="s">
        <v>14</v>
      </c>
      <c r="E134" s="79">
        <v>45429</v>
      </c>
      <c r="F134" s="110" t="s">
        <v>53</v>
      </c>
      <c r="G134" s="39"/>
    </row>
    <row r="135" spans="1:7" s="40" customFormat="1" ht="30" customHeight="1" thickBot="1" x14ac:dyDescent="0.3">
      <c r="A135" s="65" t="s">
        <v>5</v>
      </c>
      <c r="B135" s="133" t="s">
        <v>40</v>
      </c>
      <c r="C135" s="134"/>
      <c r="D135" s="65" t="s">
        <v>12</v>
      </c>
      <c r="E135" s="195" t="s">
        <v>13</v>
      </c>
      <c r="F135" s="196"/>
      <c r="G135" s="39"/>
    </row>
    <row r="136" spans="1:7" s="44" customFormat="1" ht="27" x14ac:dyDescent="0.3">
      <c r="A136" s="41" t="s">
        <v>70</v>
      </c>
      <c r="B136" s="42">
        <v>25</v>
      </c>
      <c r="C136" s="135" t="str">
        <f xml:space="preserve"> IF(B136="","",setValueToTime(B136))</f>
        <v>2h5min</v>
      </c>
      <c r="D136" s="43" t="s">
        <v>84</v>
      </c>
      <c r="E136" s="197"/>
      <c r="F136" s="198"/>
      <c r="G136" s="3"/>
    </row>
    <row r="137" spans="1:7" s="44" customFormat="1" x14ac:dyDescent="0.3">
      <c r="A137" s="45" t="s">
        <v>15</v>
      </c>
      <c r="B137" s="46">
        <v>12</v>
      </c>
      <c r="C137" s="136" t="str">
        <f t="shared" ref="C137:C143" si="11" xml:space="preserve"> IF(B137="","",setValueToTime(B137))</f>
        <v>1h</v>
      </c>
      <c r="D137" s="47" t="s">
        <v>74</v>
      </c>
      <c r="E137" s="199"/>
      <c r="F137" s="200"/>
      <c r="G137" s="3"/>
    </row>
    <row r="138" spans="1:7" s="44" customFormat="1" x14ac:dyDescent="0.3">
      <c r="A138" s="45" t="s">
        <v>16</v>
      </c>
      <c r="B138" s="46">
        <v>1</v>
      </c>
      <c r="C138" s="136" t="str">
        <f t="shared" si="11"/>
        <v>0h5min</v>
      </c>
      <c r="D138" s="47" t="s">
        <v>60</v>
      </c>
      <c r="E138" s="199"/>
      <c r="F138" s="200"/>
      <c r="G138" s="3"/>
    </row>
    <row r="139" spans="1:7" s="44" customFormat="1" x14ac:dyDescent="0.3">
      <c r="A139" s="45"/>
      <c r="B139" s="46"/>
      <c r="C139" s="136" t="str">
        <f t="shared" si="11"/>
        <v/>
      </c>
      <c r="D139" s="47"/>
      <c r="E139" s="199"/>
      <c r="F139" s="200"/>
      <c r="G139" s="3"/>
    </row>
    <row r="140" spans="1:7" s="44" customFormat="1" x14ac:dyDescent="0.3">
      <c r="A140" s="46"/>
      <c r="B140" s="46"/>
      <c r="C140" s="137" t="str">
        <f t="shared" si="11"/>
        <v/>
      </c>
      <c r="D140" s="47"/>
      <c r="E140" s="199"/>
      <c r="F140" s="200"/>
      <c r="G140" s="3"/>
    </row>
    <row r="141" spans="1:7" s="44" customFormat="1" x14ac:dyDescent="0.3">
      <c r="A141" s="46"/>
      <c r="B141" s="46"/>
      <c r="C141" s="137" t="str">
        <f t="shared" si="11"/>
        <v/>
      </c>
      <c r="D141" s="47"/>
      <c r="E141" s="199"/>
      <c r="F141" s="200"/>
      <c r="G141" s="3"/>
    </row>
    <row r="142" spans="1:7" s="44" customFormat="1" x14ac:dyDescent="0.3">
      <c r="A142" s="46"/>
      <c r="B142" s="46"/>
      <c r="C142" s="137" t="str">
        <f t="shared" si="11"/>
        <v/>
      </c>
      <c r="D142" s="47"/>
      <c r="E142" s="199"/>
      <c r="F142" s="200"/>
      <c r="G142" s="3"/>
    </row>
    <row r="143" spans="1:7" s="44" customFormat="1" ht="15" thickBot="1" x14ac:dyDescent="0.35">
      <c r="A143" s="48"/>
      <c r="B143" s="48"/>
      <c r="C143" s="138" t="str">
        <f t="shared" si="11"/>
        <v/>
      </c>
      <c r="D143" s="49"/>
      <c r="E143" s="203"/>
      <c r="F143" s="204"/>
      <c r="G143" s="3"/>
    </row>
    <row r="144" spans="1:7" s="44" customFormat="1" ht="15" thickBot="1" x14ac:dyDescent="0.35">
      <c r="A144" s="95" t="s">
        <v>28</v>
      </c>
      <c r="B144" s="69">
        <f>SUM(B136:B143)</f>
        <v>38</v>
      </c>
      <c r="C144" s="95" t="str">
        <f xml:space="preserve"> setValueToTime(B144)</f>
        <v>3h10min</v>
      </c>
      <c r="D144" s="104"/>
      <c r="E144" s="201"/>
      <c r="F144" s="202"/>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13</v>
      </c>
      <c r="C146" s="146"/>
      <c r="D146" s="67" t="s">
        <v>14</v>
      </c>
      <c r="E146" s="79">
        <v>45429</v>
      </c>
      <c r="F146" s="110" t="s">
        <v>56</v>
      </c>
      <c r="G146" s="39"/>
    </row>
    <row r="147" spans="1:7" s="40" customFormat="1" ht="30" customHeight="1" thickBot="1" x14ac:dyDescent="0.3">
      <c r="A147" s="65" t="s">
        <v>5</v>
      </c>
      <c r="B147" s="133" t="s">
        <v>40</v>
      </c>
      <c r="C147" s="134"/>
      <c r="D147" s="65" t="s">
        <v>12</v>
      </c>
      <c r="E147" s="195" t="s">
        <v>13</v>
      </c>
      <c r="F147" s="196"/>
      <c r="G147" s="39"/>
    </row>
    <row r="148" spans="1:7" s="44" customFormat="1" ht="27" x14ac:dyDescent="0.3">
      <c r="A148" s="41" t="s">
        <v>70</v>
      </c>
      <c r="B148" s="42">
        <v>47</v>
      </c>
      <c r="C148" s="135" t="str">
        <f xml:space="preserve"> IF(B148="","",setValueToTime(B148))</f>
        <v>3h55min</v>
      </c>
      <c r="D148" s="43" t="s">
        <v>81</v>
      </c>
      <c r="E148" s="197"/>
      <c r="F148" s="198"/>
      <c r="G148" s="3"/>
    </row>
    <row r="149" spans="1:7" s="44" customFormat="1" x14ac:dyDescent="0.3">
      <c r="A149" s="45" t="s">
        <v>16</v>
      </c>
      <c r="B149" s="46">
        <v>1</v>
      </c>
      <c r="C149" s="136" t="str">
        <f t="shared" ref="C149:C155" si="12" xml:space="preserve"> IF(B149="","",setValueToTime(B149))</f>
        <v>0h5min</v>
      </c>
      <c r="D149" s="47" t="s">
        <v>60</v>
      </c>
      <c r="E149" s="199"/>
      <c r="F149" s="200"/>
      <c r="G149" s="3"/>
    </row>
    <row r="150" spans="1:7" s="44" customFormat="1" x14ac:dyDescent="0.3">
      <c r="A150" s="45"/>
      <c r="B150" s="46"/>
      <c r="C150" s="136" t="str">
        <f t="shared" si="12"/>
        <v/>
      </c>
      <c r="D150" s="47"/>
      <c r="E150" s="199"/>
      <c r="F150" s="200"/>
      <c r="G150" s="3"/>
    </row>
    <row r="151" spans="1:7" s="44" customFormat="1" x14ac:dyDescent="0.3">
      <c r="A151" s="45"/>
      <c r="B151" s="46"/>
      <c r="C151" s="136" t="str">
        <f t="shared" si="12"/>
        <v/>
      </c>
      <c r="D151" s="47"/>
      <c r="E151" s="199"/>
      <c r="F151" s="200"/>
      <c r="G151" s="3"/>
    </row>
    <row r="152" spans="1:7" s="44" customFormat="1" x14ac:dyDescent="0.3">
      <c r="A152" s="46"/>
      <c r="B152" s="46"/>
      <c r="C152" s="137" t="str">
        <f t="shared" si="12"/>
        <v/>
      </c>
      <c r="D152" s="47"/>
      <c r="E152" s="199"/>
      <c r="F152" s="200"/>
      <c r="G152" s="3"/>
    </row>
    <row r="153" spans="1:7" s="44" customFormat="1" x14ac:dyDescent="0.3">
      <c r="A153" s="46"/>
      <c r="B153" s="46"/>
      <c r="C153" s="137" t="str">
        <f t="shared" si="12"/>
        <v/>
      </c>
      <c r="D153" s="47"/>
      <c r="E153" s="199"/>
      <c r="F153" s="200"/>
      <c r="G153" s="3"/>
    </row>
    <row r="154" spans="1:7" s="44" customFormat="1" x14ac:dyDescent="0.3">
      <c r="A154" s="46"/>
      <c r="B154" s="46"/>
      <c r="C154" s="137" t="str">
        <f t="shared" si="12"/>
        <v/>
      </c>
      <c r="D154" s="47"/>
      <c r="E154" s="199"/>
      <c r="F154" s="200"/>
      <c r="G154" s="3"/>
    </row>
    <row r="155" spans="1:7" s="44" customFormat="1" ht="15" thickBot="1" x14ac:dyDescent="0.35">
      <c r="A155" s="48"/>
      <c r="B155" s="48"/>
      <c r="C155" s="138" t="str">
        <f t="shared" si="12"/>
        <v/>
      </c>
      <c r="D155" s="49"/>
      <c r="E155" s="203"/>
      <c r="F155" s="204"/>
      <c r="G155" s="3"/>
    </row>
    <row r="156" spans="1:7" s="44" customFormat="1" ht="15" thickBot="1" x14ac:dyDescent="0.35">
      <c r="A156" s="95" t="s">
        <v>28</v>
      </c>
      <c r="B156" s="69">
        <f>SUM(B148:B155)</f>
        <v>48</v>
      </c>
      <c r="C156" s="95" t="str">
        <f xml:space="preserve"> setValueToTime(B156)</f>
        <v>4h</v>
      </c>
      <c r="D156" s="104"/>
      <c r="E156" s="201"/>
      <c r="F156" s="202"/>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12</v>
      </c>
      <c r="C158" s="146"/>
      <c r="D158" s="67" t="s">
        <v>14</v>
      </c>
      <c r="E158" s="79">
        <v>45428</v>
      </c>
      <c r="F158" s="110" t="s">
        <v>53</v>
      </c>
      <c r="G158" s="39"/>
    </row>
    <row r="159" spans="1:7" s="40" customFormat="1" ht="30" customHeight="1" thickBot="1" x14ac:dyDescent="0.3">
      <c r="A159" s="65" t="s">
        <v>5</v>
      </c>
      <c r="B159" s="133" t="s">
        <v>40</v>
      </c>
      <c r="C159" s="134"/>
      <c r="D159" s="65" t="s">
        <v>12</v>
      </c>
      <c r="E159" s="195" t="s">
        <v>13</v>
      </c>
      <c r="F159" s="196"/>
      <c r="G159" s="39"/>
    </row>
    <row r="160" spans="1:7" s="44" customFormat="1" ht="27" x14ac:dyDescent="0.3">
      <c r="A160" s="41" t="s">
        <v>70</v>
      </c>
      <c r="B160" s="42">
        <v>37</v>
      </c>
      <c r="C160" s="135" t="str">
        <f xml:space="preserve"> IF(B160="","",setValueToTime(B160))</f>
        <v>3h5min</v>
      </c>
      <c r="D160" s="43" t="s">
        <v>76</v>
      </c>
      <c r="E160" s="197"/>
      <c r="F160" s="198"/>
      <c r="G160" s="3"/>
    </row>
    <row r="161" spans="1:7" s="44" customFormat="1" x14ac:dyDescent="0.3">
      <c r="A161" s="45" t="s">
        <v>16</v>
      </c>
      <c r="B161" s="46">
        <v>1</v>
      </c>
      <c r="C161" s="136" t="str">
        <f t="shared" ref="C161:C167" si="13" xml:space="preserve"> IF(B161="","",setValueToTime(B161))</f>
        <v>0h5min</v>
      </c>
      <c r="D161" s="47" t="s">
        <v>60</v>
      </c>
      <c r="E161" s="199"/>
      <c r="F161" s="200"/>
      <c r="G161" s="3"/>
    </row>
    <row r="162" spans="1:7" s="44" customFormat="1" x14ac:dyDescent="0.3">
      <c r="A162" s="45"/>
      <c r="B162" s="46"/>
      <c r="C162" s="136" t="str">
        <f t="shared" si="13"/>
        <v/>
      </c>
      <c r="D162" s="47"/>
      <c r="E162" s="199"/>
      <c r="F162" s="200"/>
      <c r="G162" s="3"/>
    </row>
    <row r="163" spans="1:7" s="44" customFormat="1" x14ac:dyDescent="0.3">
      <c r="A163" s="45"/>
      <c r="B163" s="46"/>
      <c r="C163" s="136" t="str">
        <f t="shared" si="13"/>
        <v/>
      </c>
      <c r="D163" s="47"/>
      <c r="E163" s="199"/>
      <c r="F163" s="200"/>
      <c r="G163" s="3"/>
    </row>
    <row r="164" spans="1:7" s="44" customFormat="1" x14ac:dyDescent="0.3">
      <c r="A164" s="46"/>
      <c r="B164" s="46"/>
      <c r="C164" s="137" t="str">
        <f t="shared" si="13"/>
        <v/>
      </c>
      <c r="D164" s="47"/>
      <c r="E164" s="199"/>
      <c r="F164" s="200"/>
      <c r="G164" s="3"/>
    </row>
    <row r="165" spans="1:7" s="44" customFormat="1" x14ac:dyDescent="0.3">
      <c r="A165" s="46"/>
      <c r="B165" s="46"/>
      <c r="C165" s="137" t="str">
        <f t="shared" si="13"/>
        <v/>
      </c>
      <c r="D165" s="47"/>
      <c r="E165" s="199"/>
      <c r="F165" s="200"/>
      <c r="G165" s="3"/>
    </row>
    <row r="166" spans="1:7" s="44" customFormat="1" x14ac:dyDescent="0.3">
      <c r="A166" s="46"/>
      <c r="B166" s="46"/>
      <c r="C166" s="137" t="str">
        <f t="shared" si="13"/>
        <v/>
      </c>
      <c r="D166" s="47"/>
      <c r="E166" s="199"/>
      <c r="F166" s="200"/>
      <c r="G166" s="3"/>
    </row>
    <row r="167" spans="1:7" s="44" customFormat="1" ht="15" thickBot="1" x14ac:dyDescent="0.35">
      <c r="A167" s="48"/>
      <c r="B167" s="48"/>
      <c r="C167" s="138" t="str">
        <f t="shared" si="13"/>
        <v/>
      </c>
      <c r="D167" s="49"/>
      <c r="E167" s="203"/>
      <c r="F167" s="204"/>
      <c r="G167" s="3"/>
    </row>
    <row r="168" spans="1:7" s="44" customFormat="1" ht="15" thickBot="1" x14ac:dyDescent="0.35">
      <c r="A168" s="95" t="s">
        <v>28</v>
      </c>
      <c r="B168" s="69">
        <f>SUM(B160:B167)</f>
        <v>38</v>
      </c>
      <c r="C168" s="95" t="str">
        <f xml:space="preserve"> setValueToTime(B168)</f>
        <v>3h10min</v>
      </c>
      <c r="D168" s="104"/>
      <c r="E168" s="201"/>
      <c r="F168" s="202"/>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11</v>
      </c>
      <c r="C170" s="146"/>
      <c r="D170" s="67" t="s">
        <v>14</v>
      </c>
      <c r="E170" s="79">
        <v>45427</v>
      </c>
      <c r="F170" s="110" t="s">
        <v>53</v>
      </c>
      <c r="G170" s="39"/>
    </row>
    <row r="171" spans="1:7" s="40" customFormat="1" ht="30" customHeight="1" thickBot="1" x14ac:dyDescent="0.3">
      <c r="A171" s="65" t="s">
        <v>5</v>
      </c>
      <c r="B171" s="133" t="s">
        <v>40</v>
      </c>
      <c r="C171" s="134"/>
      <c r="D171" s="65" t="s">
        <v>12</v>
      </c>
      <c r="E171" s="195" t="s">
        <v>13</v>
      </c>
      <c r="F171" s="196"/>
      <c r="G171" s="39"/>
    </row>
    <row r="172" spans="1:7" s="44" customFormat="1" ht="27" x14ac:dyDescent="0.3">
      <c r="A172" s="41" t="s">
        <v>70</v>
      </c>
      <c r="B172" s="42">
        <v>25</v>
      </c>
      <c r="C172" s="135" t="str">
        <f xml:space="preserve"> IF(B172="","",setValueToTime(B172))</f>
        <v>2h5min</v>
      </c>
      <c r="D172" s="43" t="s">
        <v>75</v>
      </c>
      <c r="E172" s="197"/>
      <c r="F172" s="198"/>
      <c r="G172" s="3"/>
    </row>
    <row r="173" spans="1:7" s="44" customFormat="1" x14ac:dyDescent="0.3">
      <c r="A173" s="45" t="s">
        <v>15</v>
      </c>
      <c r="B173" s="46">
        <v>12</v>
      </c>
      <c r="C173" s="136" t="str">
        <f t="shared" ref="C173:C179" si="14" xml:space="preserve"> IF(B173="","",setValueToTime(B173))</f>
        <v>1h</v>
      </c>
      <c r="D173" s="47" t="s">
        <v>74</v>
      </c>
      <c r="E173" s="199"/>
      <c r="F173" s="200"/>
      <c r="G173" s="3"/>
    </row>
    <row r="174" spans="1:7" s="44" customFormat="1" x14ac:dyDescent="0.3">
      <c r="A174" s="45" t="s">
        <v>16</v>
      </c>
      <c r="B174" s="46">
        <v>1</v>
      </c>
      <c r="C174" s="136" t="str">
        <f t="shared" si="14"/>
        <v>0h5min</v>
      </c>
      <c r="D174" s="47" t="s">
        <v>60</v>
      </c>
      <c r="E174" s="199"/>
      <c r="F174" s="200"/>
      <c r="G174" s="3"/>
    </row>
    <row r="175" spans="1:7" s="44" customFormat="1" x14ac:dyDescent="0.3">
      <c r="A175" s="45"/>
      <c r="B175" s="46"/>
      <c r="C175" s="136" t="str">
        <f t="shared" si="14"/>
        <v/>
      </c>
      <c r="D175" s="47"/>
      <c r="E175" s="199"/>
      <c r="F175" s="200"/>
      <c r="G175" s="3"/>
    </row>
    <row r="176" spans="1:7" s="44" customFormat="1" x14ac:dyDescent="0.3">
      <c r="A176" s="46"/>
      <c r="B176" s="46"/>
      <c r="C176" s="137" t="str">
        <f t="shared" si="14"/>
        <v/>
      </c>
      <c r="D176" s="47"/>
      <c r="E176" s="199"/>
      <c r="F176" s="200"/>
      <c r="G176" s="3"/>
    </row>
    <row r="177" spans="1:7" s="44" customFormat="1" x14ac:dyDescent="0.3">
      <c r="A177" s="46"/>
      <c r="B177" s="46"/>
      <c r="C177" s="137" t="str">
        <f t="shared" si="14"/>
        <v/>
      </c>
      <c r="D177" s="47"/>
      <c r="E177" s="199"/>
      <c r="F177" s="200"/>
      <c r="G177" s="3"/>
    </row>
    <row r="178" spans="1:7" s="44" customFormat="1" x14ac:dyDescent="0.3">
      <c r="A178" s="46"/>
      <c r="B178" s="46"/>
      <c r="C178" s="137" t="str">
        <f t="shared" si="14"/>
        <v/>
      </c>
      <c r="D178" s="47"/>
      <c r="E178" s="199"/>
      <c r="F178" s="200"/>
      <c r="G178" s="3"/>
    </row>
    <row r="179" spans="1:7" s="44" customFormat="1" ht="15" thickBot="1" x14ac:dyDescent="0.35">
      <c r="A179" s="48"/>
      <c r="B179" s="48"/>
      <c r="C179" s="138" t="str">
        <f t="shared" si="14"/>
        <v/>
      </c>
      <c r="D179" s="49"/>
      <c r="E179" s="203"/>
      <c r="F179" s="204"/>
      <c r="G179" s="3"/>
    </row>
    <row r="180" spans="1:7" s="44" customFormat="1" ht="15" thickBot="1" x14ac:dyDescent="0.35">
      <c r="A180" s="95" t="s">
        <v>28</v>
      </c>
      <c r="B180" s="69">
        <f>SUM(B172:B179)</f>
        <v>38</v>
      </c>
      <c r="C180" s="95" t="str">
        <f xml:space="preserve"> setValueToTime(B180)</f>
        <v>3h10min</v>
      </c>
      <c r="D180" s="104"/>
      <c r="E180" s="201"/>
      <c r="F180" s="202"/>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10</v>
      </c>
      <c r="C182" s="146"/>
      <c r="D182" s="67" t="s">
        <v>14</v>
      </c>
      <c r="E182" s="79">
        <v>45427</v>
      </c>
      <c r="F182" s="110" t="s">
        <v>56</v>
      </c>
      <c r="G182" s="39"/>
    </row>
    <row r="183" spans="1:7" s="40" customFormat="1" ht="30" customHeight="1" thickBot="1" x14ac:dyDescent="0.3">
      <c r="A183" s="65" t="s">
        <v>5</v>
      </c>
      <c r="B183" s="133" t="s">
        <v>40</v>
      </c>
      <c r="C183" s="134"/>
      <c r="D183" s="65" t="s">
        <v>12</v>
      </c>
      <c r="E183" s="195" t="s">
        <v>13</v>
      </c>
      <c r="F183" s="196"/>
      <c r="G183" s="39"/>
    </row>
    <row r="184" spans="1:7" s="44" customFormat="1" ht="27" x14ac:dyDescent="0.3">
      <c r="A184" s="41" t="s">
        <v>70</v>
      </c>
      <c r="B184" s="42">
        <v>37</v>
      </c>
      <c r="C184" s="135" t="str">
        <f xml:space="preserve"> IF(B184="","",setValueToTime(B184))</f>
        <v>3h5min</v>
      </c>
      <c r="D184" s="43" t="s">
        <v>83</v>
      </c>
      <c r="E184" s="197"/>
      <c r="F184" s="198"/>
      <c r="G184" s="3"/>
    </row>
    <row r="185" spans="1:7" s="44" customFormat="1" x14ac:dyDescent="0.3">
      <c r="A185" s="45" t="s">
        <v>16</v>
      </c>
      <c r="B185" s="46">
        <v>1</v>
      </c>
      <c r="C185" s="136" t="str">
        <f t="shared" ref="C185:C191" si="15" xml:space="preserve"> IF(B185="","",setValueToTime(B185))</f>
        <v>0h5min</v>
      </c>
      <c r="D185" s="47" t="s">
        <v>60</v>
      </c>
      <c r="E185" s="199"/>
      <c r="F185" s="200"/>
      <c r="G185" s="3"/>
    </row>
    <row r="186" spans="1:7" s="44" customFormat="1" x14ac:dyDescent="0.3">
      <c r="A186" s="45"/>
      <c r="B186" s="46"/>
      <c r="C186" s="136" t="str">
        <f t="shared" si="15"/>
        <v/>
      </c>
      <c r="D186" s="47"/>
      <c r="E186" s="199"/>
      <c r="F186" s="200"/>
      <c r="G186" s="3"/>
    </row>
    <row r="187" spans="1:7" s="44" customFormat="1" x14ac:dyDescent="0.3">
      <c r="A187" s="45"/>
      <c r="B187" s="46"/>
      <c r="C187" s="136" t="str">
        <f t="shared" si="15"/>
        <v/>
      </c>
      <c r="D187" s="47"/>
      <c r="E187" s="199"/>
      <c r="F187" s="200"/>
      <c r="G187" s="3"/>
    </row>
    <row r="188" spans="1:7" s="44" customFormat="1" x14ac:dyDescent="0.3">
      <c r="A188" s="46"/>
      <c r="B188" s="46"/>
      <c r="C188" s="137" t="str">
        <f t="shared" si="15"/>
        <v/>
      </c>
      <c r="D188" s="47"/>
      <c r="E188" s="199"/>
      <c r="F188" s="200"/>
      <c r="G188" s="3"/>
    </row>
    <row r="189" spans="1:7" s="44" customFormat="1" x14ac:dyDescent="0.3">
      <c r="A189" s="46"/>
      <c r="B189" s="46"/>
      <c r="C189" s="137" t="str">
        <f t="shared" si="15"/>
        <v/>
      </c>
      <c r="D189" s="47"/>
      <c r="E189" s="199"/>
      <c r="F189" s="200"/>
      <c r="G189" s="3"/>
    </row>
    <row r="190" spans="1:7" s="44" customFormat="1" x14ac:dyDescent="0.3">
      <c r="A190" s="46"/>
      <c r="B190" s="46"/>
      <c r="C190" s="137" t="str">
        <f t="shared" si="15"/>
        <v/>
      </c>
      <c r="D190" s="47"/>
      <c r="E190" s="199"/>
      <c r="F190" s="200"/>
      <c r="G190" s="3"/>
    </row>
    <row r="191" spans="1:7" s="44" customFormat="1" ht="15" thickBot="1" x14ac:dyDescent="0.35">
      <c r="A191" s="48"/>
      <c r="B191" s="48"/>
      <c r="C191" s="138" t="str">
        <f t="shared" si="15"/>
        <v/>
      </c>
      <c r="D191" s="49"/>
      <c r="E191" s="203"/>
      <c r="F191" s="204"/>
      <c r="G191" s="3"/>
    </row>
    <row r="192" spans="1:7" s="44" customFormat="1" ht="15" thickBot="1" x14ac:dyDescent="0.35">
      <c r="A192" s="95" t="s">
        <v>28</v>
      </c>
      <c r="B192" s="69">
        <f>SUM(B184:B191)</f>
        <v>38</v>
      </c>
      <c r="C192" s="95" t="str">
        <f xml:space="preserve"> setValueToTime(B192)</f>
        <v>3h10min</v>
      </c>
      <c r="D192" s="104"/>
      <c r="E192" s="201"/>
      <c r="F192" s="202"/>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9</v>
      </c>
      <c r="C194" s="146"/>
      <c r="D194" s="67" t="s">
        <v>14</v>
      </c>
      <c r="E194" s="79">
        <v>45425</v>
      </c>
      <c r="F194" s="110" t="s">
        <v>53</v>
      </c>
      <c r="G194" s="39"/>
    </row>
    <row r="195" spans="1:7" s="40" customFormat="1" ht="30" customHeight="1" thickBot="1" x14ac:dyDescent="0.3">
      <c r="A195" s="65" t="s">
        <v>5</v>
      </c>
      <c r="B195" s="133" t="s">
        <v>40</v>
      </c>
      <c r="C195" s="134"/>
      <c r="D195" s="65" t="s">
        <v>12</v>
      </c>
      <c r="E195" s="195" t="s">
        <v>13</v>
      </c>
      <c r="F195" s="196"/>
      <c r="G195" s="39"/>
    </row>
    <row r="196" spans="1:7" s="44" customFormat="1" ht="27" x14ac:dyDescent="0.3">
      <c r="A196" s="41" t="s">
        <v>71</v>
      </c>
      <c r="B196" s="42">
        <v>15</v>
      </c>
      <c r="C196" s="135" t="str">
        <f xml:space="preserve"> IF(B196="","",setValueToTime(B196))</f>
        <v>1h15min</v>
      </c>
      <c r="D196" s="43" t="s">
        <v>73</v>
      </c>
      <c r="E196" s="197"/>
      <c r="F196" s="198"/>
      <c r="G196" s="3"/>
    </row>
    <row r="197" spans="1:7" s="44" customFormat="1" x14ac:dyDescent="0.3">
      <c r="A197" s="45" t="s">
        <v>15</v>
      </c>
      <c r="B197" s="46">
        <v>12</v>
      </c>
      <c r="C197" s="136" t="str">
        <f t="shared" ref="C197:C203" si="16" xml:space="preserve"> IF(B197="","",setValueToTime(B197))</f>
        <v>1h</v>
      </c>
      <c r="D197" s="47" t="s">
        <v>74</v>
      </c>
      <c r="E197" s="199"/>
      <c r="F197" s="200"/>
      <c r="G197" s="3"/>
    </row>
    <row r="198" spans="1:7" s="44" customFormat="1" x14ac:dyDescent="0.3">
      <c r="A198" s="45" t="s">
        <v>16</v>
      </c>
      <c r="B198" s="46">
        <v>1</v>
      </c>
      <c r="C198" s="136" t="str">
        <f t="shared" si="16"/>
        <v>0h5min</v>
      </c>
      <c r="D198" s="47" t="s">
        <v>60</v>
      </c>
      <c r="E198" s="199"/>
      <c r="F198" s="200"/>
      <c r="G198" s="3"/>
    </row>
    <row r="199" spans="1:7" s="44" customFormat="1" x14ac:dyDescent="0.3">
      <c r="A199" s="45"/>
      <c r="B199" s="46"/>
      <c r="C199" s="136" t="str">
        <f t="shared" si="16"/>
        <v/>
      </c>
      <c r="D199" s="47"/>
      <c r="E199" s="199"/>
      <c r="F199" s="200"/>
      <c r="G199" s="3"/>
    </row>
    <row r="200" spans="1:7" s="44" customFormat="1" x14ac:dyDescent="0.3">
      <c r="A200" s="46"/>
      <c r="B200" s="46"/>
      <c r="C200" s="137" t="str">
        <f t="shared" si="16"/>
        <v/>
      </c>
      <c r="D200" s="47"/>
      <c r="E200" s="199"/>
      <c r="F200" s="200"/>
      <c r="G200" s="3"/>
    </row>
    <row r="201" spans="1:7" s="44" customFormat="1" x14ac:dyDescent="0.3">
      <c r="A201" s="46"/>
      <c r="B201" s="46"/>
      <c r="C201" s="137" t="str">
        <f t="shared" si="16"/>
        <v/>
      </c>
      <c r="D201" s="47"/>
      <c r="E201" s="199"/>
      <c r="F201" s="200"/>
      <c r="G201" s="3"/>
    </row>
    <row r="202" spans="1:7" s="44" customFormat="1" x14ac:dyDescent="0.3">
      <c r="A202" s="46"/>
      <c r="B202" s="46"/>
      <c r="C202" s="137" t="str">
        <f t="shared" si="16"/>
        <v/>
      </c>
      <c r="D202" s="47"/>
      <c r="E202" s="199"/>
      <c r="F202" s="200"/>
      <c r="G202" s="3"/>
    </row>
    <row r="203" spans="1:7" s="44" customFormat="1" ht="15" thickBot="1" x14ac:dyDescent="0.35">
      <c r="A203" s="48"/>
      <c r="B203" s="48"/>
      <c r="C203" s="138" t="str">
        <f t="shared" si="16"/>
        <v/>
      </c>
      <c r="D203" s="49"/>
      <c r="E203" s="203"/>
      <c r="F203" s="204"/>
      <c r="G203" s="3"/>
    </row>
    <row r="204" spans="1:7" s="44" customFormat="1" ht="15" thickBot="1" x14ac:dyDescent="0.35">
      <c r="A204" s="95" t="s">
        <v>28</v>
      </c>
      <c r="B204" s="69">
        <f>SUM(B196:B203)</f>
        <v>28</v>
      </c>
      <c r="C204" s="95" t="str">
        <f xml:space="preserve"> setValueToTime(B204)</f>
        <v>2h20min</v>
      </c>
      <c r="D204" s="104"/>
      <c r="E204" s="201"/>
      <c r="F204" s="202"/>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8</v>
      </c>
      <c r="C206" s="146"/>
      <c r="D206" s="67" t="s">
        <v>14</v>
      </c>
      <c r="E206" s="79">
        <v>45425</v>
      </c>
      <c r="F206" s="110" t="s">
        <v>56</v>
      </c>
      <c r="G206" s="39"/>
    </row>
    <row r="207" spans="1:7" s="40" customFormat="1" ht="30" customHeight="1" thickBot="1" x14ac:dyDescent="0.3">
      <c r="A207" s="65" t="s">
        <v>5</v>
      </c>
      <c r="B207" s="133" t="s">
        <v>40</v>
      </c>
      <c r="C207" s="134"/>
      <c r="D207" s="65" t="s">
        <v>12</v>
      </c>
      <c r="E207" s="195" t="s">
        <v>13</v>
      </c>
      <c r="F207" s="196"/>
      <c r="G207" s="39"/>
    </row>
    <row r="208" spans="1:7" s="44" customFormat="1" ht="27" x14ac:dyDescent="0.3">
      <c r="A208" s="41" t="s">
        <v>71</v>
      </c>
      <c r="B208" s="42">
        <v>47</v>
      </c>
      <c r="C208" s="135" t="str">
        <f xml:space="preserve"> IF(B208="","",setValueToTime(B208))</f>
        <v>3h55min</v>
      </c>
      <c r="D208" s="43" t="s">
        <v>72</v>
      </c>
      <c r="E208" s="197"/>
      <c r="F208" s="198"/>
      <c r="G208" s="3"/>
    </row>
    <row r="209" spans="1:7" s="44" customFormat="1" x14ac:dyDescent="0.3">
      <c r="A209" s="45" t="s">
        <v>16</v>
      </c>
      <c r="B209" s="46">
        <v>1</v>
      </c>
      <c r="C209" s="136" t="str">
        <f t="shared" ref="C209:C215" si="17" xml:space="preserve"> IF(B209="","",setValueToTime(B209))</f>
        <v>0h5min</v>
      </c>
      <c r="D209" s="47" t="s">
        <v>60</v>
      </c>
      <c r="E209" s="199"/>
      <c r="F209" s="200"/>
      <c r="G209" s="3"/>
    </row>
    <row r="210" spans="1:7" s="44" customFormat="1" x14ac:dyDescent="0.3">
      <c r="A210" s="45"/>
      <c r="B210" s="46"/>
      <c r="C210" s="136" t="str">
        <f t="shared" si="17"/>
        <v/>
      </c>
      <c r="D210" s="47"/>
      <c r="E210" s="199"/>
      <c r="F210" s="200"/>
      <c r="G210" s="3"/>
    </row>
    <row r="211" spans="1:7" s="44" customFormat="1" x14ac:dyDescent="0.3">
      <c r="A211" s="45"/>
      <c r="B211" s="46"/>
      <c r="C211" s="136" t="str">
        <f t="shared" si="17"/>
        <v/>
      </c>
      <c r="D211" s="47"/>
      <c r="E211" s="199"/>
      <c r="F211" s="200"/>
      <c r="G211" s="3"/>
    </row>
    <row r="212" spans="1:7" s="44" customFormat="1" x14ac:dyDescent="0.3">
      <c r="A212" s="46"/>
      <c r="B212" s="46"/>
      <c r="C212" s="137" t="str">
        <f t="shared" si="17"/>
        <v/>
      </c>
      <c r="D212" s="47"/>
      <c r="E212" s="199"/>
      <c r="F212" s="200"/>
      <c r="G212" s="3"/>
    </row>
    <row r="213" spans="1:7" s="44" customFormat="1" x14ac:dyDescent="0.3">
      <c r="A213" s="46"/>
      <c r="B213" s="46"/>
      <c r="C213" s="137" t="str">
        <f t="shared" si="17"/>
        <v/>
      </c>
      <c r="D213" s="47"/>
      <c r="E213" s="199"/>
      <c r="F213" s="200"/>
      <c r="G213" s="3"/>
    </row>
    <row r="214" spans="1:7" s="44" customFormat="1" x14ac:dyDescent="0.3">
      <c r="A214" s="46"/>
      <c r="B214" s="46"/>
      <c r="C214" s="137" t="str">
        <f t="shared" si="17"/>
        <v/>
      </c>
      <c r="D214" s="47"/>
      <c r="E214" s="199"/>
      <c r="F214" s="200"/>
      <c r="G214" s="3"/>
    </row>
    <row r="215" spans="1:7" s="44" customFormat="1" ht="15" thickBot="1" x14ac:dyDescent="0.35">
      <c r="A215" s="48"/>
      <c r="B215" s="48"/>
      <c r="C215" s="138" t="str">
        <f t="shared" si="17"/>
        <v/>
      </c>
      <c r="D215" s="49"/>
      <c r="E215" s="203"/>
      <c r="F215" s="204"/>
      <c r="G215" s="3"/>
    </row>
    <row r="216" spans="1:7" s="44" customFormat="1" ht="15" thickBot="1" x14ac:dyDescent="0.35">
      <c r="A216" s="95" t="s">
        <v>28</v>
      </c>
      <c r="B216" s="69">
        <f>SUM(B208:B215)</f>
        <v>48</v>
      </c>
      <c r="C216" s="95" t="str">
        <f xml:space="preserve"> setValueToTime(B216)</f>
        <v>4h</v>
      </c>
      <c r="D216" s="104"/>
      <c r="E216" s="201"/>
      <c r="F216" s="202"/>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7</v>
      </c>
      <c r="C218" s="146"/>
      <c r="D218" s="67" t="s">
        <v>14</v>
      </c>
      <c r="E218" s="79">
        <v>45420</v>
      </c>
      <c r="F218" s="110" t="s">
        <v>53</v>
      </c>
      <c r="G218" s="39"/>
    </row>
    <row r="219" spans="1:7" s="40" customFormat="1" ht="30" customHeight="1" thickBot="1" x14ac:dyDescent="0.3">
      <c r="A219" s="65" t="s">
        <v>5</v>
      </c>
      <c r="B219" s="133" t="s">
        <v>40</v>
      </c>
      <c r="C219" s="134"/>
      <c r="D219" s="65" t="s">
        <v>12</v>
      </c>
      <c r="E219" s="195" t="s">
        <v>13</v>
      </c>
      <c r="F219" s="196"/>
      <c r="G219" s="39"/>
    </row>
    <row r="220" spans="1:7" s="44" customFormat="1" ht="27" x14ac:dyDescent="0.3">
      <c r="A220" s="41" t="s">
        <v>71</v>
      </c>
      <c r="B220" s="42">
        <v>25</v>
      </c>
      <c r="C220" s="135" t="str">
        <f xml:space="preserve"> IF(B220="","",setValueToTime(B220))</f>
        <v>2h5min</v>
      </c>
      <c r="D220" s="43" t="s">
        <v>67</v>
      </c>
      <c r="E220" s="197"/>
      <c r="F220" s="198"/>
      <c r="G220" s="3"/>
    </row>
    <row r="221" spans="1:7" s="44" customFormat="1" x14ac:dyDescent="0.3">
      <c r="A221" s="45" t="s">
        <v>15</v>
      </c>
      <c r="B221" s="46">
        <v>12</v>
      </c>
      <c r="C221" s="136" t="str">
        <f t="shared" ref="C221:C227" si="18" xml:space="preserve"> IF(B221="","",setValueToTime(B221))</f>
        <v>1h</v>
      </c>
      <c r="D221" s="47" t="s">
        <v>58</v>
      </c>
      <c r="E221" s="199"/>
      <c r="F221" s="200"/>
      <c r="G221" s="3"/>
    </row>
    <row r="222" spans="1:7" s="44" customFormat="1" x14ac:dyDescent="0.3">
      <c r="A222" s="45" t="s">
        <v>16</v>
      </c>
      <c r="B222" s="46">
        <v>1</v>
      </c>
      <c r="C222" s="136" t="str">
        <f t="shared" si="18"/>
        <v>0h5min</v>
      </c>
      <c r="D222" s="47" t="s">
        <v>60</v>
      </c>
      <c r="E222" s="199"/>
      <c r="F222" s="200"/>
      <c r="G222" s="3"/>
    </row>
    <row r="223" spans="1:7" s="44" customFormat="1" x14ac:dyDescent="0.3">
      <c r="A223" s="45"/>
      <c r="B223" s="46"/>
      <c r="C223" s="136" t="str">
        <f t="shared" si="18"/>
        <v/>
      </c>
      <c r="D223" s="47"/>
      <c r="E223" s="199"/>
      <c r="F223" s="200"/>
      <c r="G223" s="3"/>
    </row>
    <row r="224" spans="1:7" s="44" customFormat="1" x14ac:dyDescent="0.3">
      <c r="A224" s="46"/>
      <c r="B224" s="46"/>
      <c r="C224" s="137" t="str">
        <f t="shared" si="18"/>
        <v/>
      </c>
      <c r="D224" s="47"/>
      <c r="E224" s="199"/>
      <c r="F224" s="200"/>
      <c r="G224" s="3"/>
    </row>
    <row r="225" spans="1:7" s="44" customFormat="1" x14ac:dyDescent="0.3">
      <c r="A225" s="46"/>
      <c r="B225" s="46"/>
      <c r="C225" s="137" t="str">
        <f t="shared" si="18"/>
        <v/>
      </c>
      <c r="D225" s="47"/>
      <c r="E225" s="199"/>
      <c r="F225" s="200"/>
      <c r="G225" s="3"/>
    </row>
    <row r="226" spans="1:7" s="44" customFormat="1" x14ac:dyDescent="0.3">
      <c r="A226" s="46"/>
      <c r="B226" s="46"/>
      <c r="C226" s="137" t="str">
        <f t="shared" si="18"/>
        <v/>
      </c>
      <c r="D226" s="47"/>
      <c r="E226" s="199"/>
      <c r="F226" s="200"/>
      <c r="G226" s="3"/>
    </row>
    <row r="227" spans="1:7" s="44" customFormat="1" ht="15" thickBot="1" x14ac:dyDescent="0.35">
      <c r="A227" s="48"/>
      <c r="B227" s="48"/>
      <c r="C227" s="138" t="str">
        <f t="shared" si="18"/>
        <v/>
      </c>
      <c r="D227" s="49"/>
      <c r="E227" s="203"/>
      <c r="F227" s="204"/>
      <c r="G227" s="3"/>
    </row>
    <row r="228" spans="1:7" s="44" customFormat="1" ht="15" thickBot="1" x14ac:dyDescent="0.35">
      <c r="A228" s="95" t="s">
        <v>28</v>
      </c>
      <c r="B228" s="69">
        <f>SUM(B220:B227)</f>
        <v>38</v>
      </c>
      <c r="C228" s="95" t="str">
        <f xml:space="preserve"> setValueToTime(B228)</f>
        <v>3h10min</v>
      </c>
      <c r="D228" s="104"/>
      <c r="E228" s="201"/>
      <c r="F228" s="202"/>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6</v>
      </c>
      <c r="C230" s="146"/>
      <c r="D230" s="67" t="s">
        <v>14</v>
      </c>
      <c r="E230" s="79">
        <v>45420</v>
      </c>
      <c r="F230" s="110" t="s">
        <v>56</v>
      </c>
      <c r="G230" s="39"/>
    </row>
    <row r="231" spans="1:7" s="40" customFormat="1" ht="30" customHeight="1" thickBot="1" x14ac:dyDescent="0.3">
      <c r="A231" s="65" t="s">
        <v>5</v>
      </c>
      <c r="B231" s="133" t="s">
        <v>40</v>
      </c>
      <c r="C231" s="134"/>
      <c r="D231" s="65" t="s">
        <v>12</v>
      </c>
      <c r="E231" s="195" t="s">
        <v>13</v>
      </c>
      <c r="F231" s="196"/>
      <c r="G231" s="39"/>
    </row>
    <row r="232" spans="1:7" s="44" customFormat="1" ht="27" x14ac:dyDescent="0.3">
      <c r="A232" s="41" t="s">
        <v>69</v>
      </c>
      <c r="B232" s="42">
        <v>12</v>
      </c>
      <c r="C232" s="135" t="str">
        <f xml:space="preserve"> IF(B232="","",setValueToTime(B232))</f>
        <v>1h</v>
      </c>
      <c r="D232" s="43" t="s">
        <v>66</v>
      </c>
      <c r="E232" s="197"/>
      <c r="F232" s="198"/>
      <c r="G232" s="3"/>
    </row>
    <row r="233" spans="1:7" s="44" customFormat="1" ht="27" x14ac:dyDescent="0.3">
      <c r="A233" s="45" t="s">
        <v>71</v>
      </c>
      <c r="B233" s="46">
        <v>25</v>
      </c>
      <c r="C233" s="136" t="str">
        <f t="shared" ref="C233:C239" si="19" xml:space="preserve"> IF(B233="","",setValueToTime(B233))</f>
        <v>2h5min</v>
      </c>
      <c r="D233" s="47" t="s">
        <v>67</v>
      </c>
      <c r="E233" s="199"/>
      <c r="F233" s="200"/>
      <c r="G233" s="3"/>
    </row>
    <row r="234" spans="1:7" s="44" customFormat="1" x14ac:dyDescent="0.3">
      <c r="A234" s="45" t="s">
        <v>16</v>
      </c>
      <c r="B234" s="46">
        <v>1</v>
      </c>
      <c r="C234" s="136" t="str">
        <f t="shared" si="19"/>
        <v>0h5min</v>
      </c>
      <c r="D234" s="47" t="s">
        <v>60</v>
      </c>
      <c r="E234" s="199"/>
      <c r="F234" s="200"/>
      <c r="G234" s="3"/>
    </row>
    <row r="235" spans="1:7" s="44" customFormat="1" x14ac:dyDescent="0.3">
      <c r="A235" s="45"/>
      <c r="B235" s="46"/>
      <c r="C235" s="136" t="str">
        <f t="shared" si="19"/>
        <v/>
      </c>
      <c r="D235" s="47"/>
      <c r="E235" s="199"/>
      <c r="F235" s="200"/>
      <c r="G235" s="3"/>
    </row>
    <row r="236" spans="1:7" s="44" customFormat="1" x14ac:dyDescent="0.3">
      <c r="A236" s="46"/>
      <c r="B236" s="46"/>
      <c r="C236" s="137" t="str">
        <f t="shared" si="19"/>
        <v/>
      </c>
      <c r="D236" s="47"/>
      <c r="E236" s="199"/>
      <c r="F236" s="200"/>
      <c r="G236" s="3"/>
    </row>
    <row r="237" spans="1:7" s="44" customFormat="1" x14ac:dyDescent="0.3">
      <c r="A237" s="46"/>
      <c r="B237" s="46"/>
      <c r="C237" s="137" t="str">
        <f t="shared" si="19"/>
        <v/>
      </c>
      <c r="D237" s="47"/>
      <c r="E237" s="199"/>
      <c r="F237" s="200"/>
      <c r="G237" s="3"/>
    </row>
    <row r="238" spans="1:7" s="44" customFormat="1" x14ac:dyDescent="0.3">
      <c r="A238" s="46"/>
      <c r="B238" s="46"/>
      <c r="C238" s="137" t="str">
        <f t="shared" si="19"/>
        <v/>
      </c>
      <c r="D238" s="47"/>
      <c r="E238" s="199"/>
      <c r="F238" s="200"/>
      <c r="G238" s="3"/>
    </row>
    <row r="239" spans="1:7" s="44" customFormat="1" ht="15" thickBot="1" x14ac:dyDescent="0.35">
      <c r="A239" s="48"/>
      <c r="B239" s="48"/>
      <c r="C239" s="138" t="str">
        <f t="shared" si="19"/>
        <v/>
      </c>
      <c r="D239" s="49"/>
      <c r="E239" s="203"/>
      <c r="F239" s="204"/>
      <c r="G239" s="3"/>
    </row>
    <row r="240" spans="1:7" s="44" customFormat="1" ht="15" thickBot="1" x14ac:dyDescent="0.35">
      <c r="A240" s="95" t="s">
        <v>28</v>
      </c>
      <c r="B240" s="69">
        <f>SUM(B232:B239)</f>
        <v>38</v>
      </c>
      <c r="C240" s="95" t="str">
        <f xml:space="preserve"> setValueToTime(B240)</f>
        <v>3h10min</v>
      </c>
      <c r="D240" s="104"/>
      <c r="E240" s="201"/>
      <c r="F240" s="202"/>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5</v>
      </c>
      <c r="C242" s="146"/>
      <c r="D242" s="67" t="s">
        <v>14</v>
      </c>
      <c r="E242" s="79">
        <v>45418</v>
      </c>
      <c r="F242" s="110" t="s">
        <v>53</v>
      </c>
      <c r="G242" s="39"/>
    </row>
    <row r="243" spans="1:7" s="40" customFormat="1" ht="30" customHeight="1" thickBot="1" x14ac:dyDescent="0.3">
      <c r="A243" s="65" t="s">
        <v>5</v>
      </c>
      <c r="B243" s="133" t="s">
        <v>40</v>
      </c>
      <c r="C243" s="134"/>
      <c r="D243" s="65" t="s">
        <v>12</v>
      </c>
      <c r="E243" s="195" t="s">
        <v>13</v>
      </c>
      <c r="F243" s="196"/>
      <c r="G243" s="39"/>
    </row>
    <row r="244" spans="1:7" s="44" customFormat="1" ht="40.5" x14ac:dyDescent="0.3">
      <c r="A244" s="41" t="s">
        <v>68</v>
      </c>
      <c r="B244" s="42">
        <v>15</v>
      </c>
      <c r="C244" s="135" t="str">
        <f xml:space="preserve"> IF(B244="","",setValueToTime(B244))</f>
        <v>1h15min</v>
      </c>
      <c r="D244" s="43" t="s">
        <v>64</v>
      </c>
      <c r="E244" s="197"/>
      <c r="F244" s="198"/>
      <c r="G244" s="3"/>
    </row>
    <row r="245" spans="1:7" s="44" customFormat="1" x14ac:dyDescent="0.3">
      <c r="A245" s="45" t="s">
        <v>15</v>
      </c>
      <c r="B245" s="46">
        <v>12</v>
      </c>
      <c r="C245" s="136" t="str">
        <f t="shared" ref="C245:C251" si="20" xml:space="preserve"> IF(B245="","",setValueToTime(B245))</f>
        <v>1h</v>
      </c>
      <c r="D245" s="47" t="s">
        <v>65</v>
      </c>
      <c r="E245" s="199"/>
      <c r="F245" s="200"/>
      <c r="G245" s="3"/>
    </row>
    <row r="246" spans="1:7" s="44" customFormat="1" x14ac:dyDescent="0.3">
      <c r="A246" s="45" t="s">
        <v>16</v>
      </c>
      <c r="B246" s="46">
        <v>1</v>
      </c>
      <c r="C246" s="136" t="str">
        <f t="shared" si="20"/>
        <v>0h5min</v>
      </c>
      <c r="D246" s="47" t="s">
        <v>60</v>
      </c>
      <c r="E246" s="199"/>
      <c r="F246" s="200"/>
      <c r="G246" s="3"/>
    </row>
    <row r="247" spans="1:7" s="44" customFormat="1" x14ac:dyDescent="0.3">
      <c r="A247" s="45"/>
      <c r="B247" s="46"/>
      <c r="C247" s="136" t="str">
        <f t="shared" si="20"/>
        <v/>
      </c>
      <c r="D247" s="47"/>
      <c r="E247" s="199"/>
      <c r="F247" s="200"/>
      <c r="G247" s="3"/>
    </row>
    <row r="248" spans="1:7" s="44" customFormat="1" x14ac:dyDescent="0.3">
      <c r="A248" s="46"/>
      <c r="B248" s="46"/>
      <c r="C248" s="137" t="str">
        <f t="shared" si="20"/>
        <v/>
      </c>
      <c r="D248" s="47"/>
      <c r="E248" s="199"/>
      <c r="F248" s="200"/>
      <c r="G248" s="3"/>
    </row>
    <row r="249" spans="1:7" s="44" customFormat="1" x14ac:dyDescent="0.3">
      <c r="A249" s="46"/>
      <c r="B249" s="46"/>
      <c r="C249" s="137" t="str">
        <f t="shared" si="20"/>
        <v/>
      </c>
      <c r="D249" s="47"/>
      <c r="E249" s="199"/>
      <c r="F249" s="200"/>
      <c r="G249" s="3"/>
    </row>
    <row r="250" spans="1:7" s="44" customFormat="1" x14ac:dyDescent="0.3">
      <c r="A250" s="46"/>
      <c r="B250" s="46"/>
      <c r="C250" s="137" t="str">
        <f t="shared" si="20"/>
        <v/>
      </c>
      <c r="D250" s="47"/>
      <c r="E250" s="199"/>
      <c r="F250" s="200"/>
      <c r="G250" s="3"/>
    </row>
    <row r="251" spans="1:7" s="44" customFormat="1" ht="15" thickBot="1" x14ac:dyDescent="0.35">
      <c r="A251" s="48"/>
      <c r="B251" s="48"/>
      <c r="C251" s="138" t="str">
        <f t="shared" si="20"/>
        <v/>
      </c>
      <c r="D251" s="49"/>
      <c r="E251" s="203"/>
      <c r="F251" s="204"/>
      <c r="G251" s="3"/>
    </row>
    <row r="252" spans="1:7" s="44" customFormat="1" ht="15" thickBot="1" x14ac:dyDescent="0.35">
      <c r="A252" s="95" t="s">
        <v>28</v>
      </c>
      <c r="B252" s="69">
        <f>SUM(B244:B251)</f>
        <v>28</v>
      </c>
      <c r="C252" s="95" t="str">
        <f xml:space="preserve"> setValueToTime(B252)</f>
        <v>2h20min</v>
      </c>
      <c r="D252" s="104"/>
      <c r="E252" s="201"/>
      <c r="F252" s="202"/>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4</v>
      </c>
      <c r="C254" s="146"/>
      <c r="D254" s="67" t="s">
        <v>14</v>
      </c>
      <c r="E254" s="79">
        <v>45418</v>
      </c>
      <c r="F254" s="110" t="s">
        <v>56</v>
      </c>
      <c r="G254" s="39"/>
    </row>
    <row r="255" spans="1:7" s="40" customFormat="1" ht="30" customHeight="1" thickBot="1" x14ac:dyDescent="0.3">
      <c r="A255" s="65" t="s">
        <v>5</v>
      </c>
      <c r="B255" s="133" t="s">
        <v>40</v>
      </c>
      <c r="C255" s="134"/>
      <c r="D255" s="65" t="s">
        <v>12</v>
      </c>
      <c r="E255" s="195" t="s">
        <v>13</v>
      </c>
      <c r="F255" s="196"/>
      <c r="G255" s="39"/>
    </row>
    <row r="256" spans="1:7" s="44" customFormat="1" ht="40.5" x14ac:dyDescent="0.3">
      <c r="A256" s="41" t="s">
        <v>68</v>
      </c>
      <c r="B256" s="42">
        <v>12</v>
      </c>
      <c r="C256" s="135" t="str">
        <f xml:space="preserve"> IF(B256="","",setValueToTime(B256))</f>
        <v>1h</v>
      </c>
      <c r="D256" s="43" t="s">
        <v>61</v>
      </c>
      <c r="E256" s="197"/>
      <c r="F256" s="198"/>
      <c r="G256" s="3"/>
    </row>
    <row r="257" spans="1:7" s="44" customFormat="1" ht="27" x14ac:dyDescent="0.3">
      <c r="A257" s="45" t="s">
        <v>44</v>
      </c>
      <c r="B257" s="46">
        <v>11</v>
      </c>
      <c r="C257" s="136" t="str">
        <f t="shared" ref="C257:C263" si="21" xml:space="preserve"> IF(B257="","",setValueToTime(B257))</f>
        <v>0h55min</v>
      </c>
      <c r="D257" s="47" t="s">
        <v>82</v>
      </c>
      <c r="E257" s="199"/>
      <c r="F257" s="200"/>
      <c r="G257" s="3"/>
    </row>
    <row r="258" spans="1:7" s="44" customFormat="1" x14ac:dyDescent="0.3">
      <c r="A258" s="45" t="s">
        <v>44</v>
      </c>
      <c r="B258" s="46">
        <v>12</v>
      </c>
      <c r="C258" s="136" t="str">
        <f t="shared" si="21"/>
        <v>1h</v>
      </c>
      <c r="D258" s="47" t="s">
        <v>62</v>
      </c>
      <c r="E258" s="199"/>
      <c r="F258" s="200"/>
      <c r="G258" s="3"/>
    </row>
    <row r="259" spans="1:7" s="44" customFormat="1" ht="27" x14ac:dyDescent="0.3">
      <c r="A259" s="45" t="s">
        <v>43</v>
      </c>
      <c r="B259" s="46">
        <v>12</v>
      </c>
      <c r="C259" s="136" t="str">
        <f t="shared" si="21"/>
        <v>1h</v>
      </c>
      <c r="D259" s="47" t="s">
        <v>63</v>
      </c>
      <c r="E259" s="199"/>
      <c r="F259" s="200"/>
      <c r="G259" s="3"/>
    </row>
    <row r="260" spans="1:7" s="44" customFormat="1" x14ac:dyDescent="0.3">
      <c r="A260" s="45" t="s">
        <v>16</v>
      </c>
      <c r="B260" s="46">
        <v>1</v>
      </c>
      <c r="C260" s="137" t="str">
        <f t="shared" si="21"/>
        <v>0h5min</v>
      </c>
      <c r="D260" s="47" t="s">
        <v>60</v>
      </c>
      <c r="E260" s="199"/>
      <c r="F260" s="200"/>
      <c r="G260" s="3"/>
    </row>
    <row r="261" spans="1:7" s="44" customFormat="1" x14ac:dyDescent="0.3">
      <c r="A261" s="46"/>
      <c r="B261" s="46"/>
      <c r="C261" s="137" t="str">
        <f t="shared" si="21"/>
        <v/>
      </c>
      <c r="D261" s="47"/>
      <c r="E261" s="199"/>
      <c r="F261" s="200"/>
      <c r="G261" s="3"/>
    </row>
    <row r="262" spans="1:7" s="44" customFormat="1" x14ac:dyDescent="0.3">
      <c r="A262" s="46"/>
      <c r="B262" s="46"/>
      <c r="C262" s="137" t="str">
        <f t="shared" si="21"/>
        <v/>
      </c>
      <c r="D262" s="47"/>
      <c r="E262" s="199"/>
      <c r="F262" s="200"/>
      <c r="G262" s="3"/>
    </row>
    <row r="263" spans="1:7" s="44" customFormat="1" ht="15" thickBot="1" x14ac:dyDescent="0.35">
      <c r="A263" s="48"/>
      <c r="B263" s="48"/>
      <c r="C263" s="138" t="str">
        <f t="shared" si="21"/>
        <v/>
      </c>
      <c r="D263" s="49"/>
      <c r="E263" s="203"/>
      <c r="F263" s="204"/>
      <c r="G263" s="3"/>
    </row>
    <row r="264" spans="1:7" s="44" customFormat="1" ht="15" thickBot="1" x14ac:dyDescent="0.35">
      <c r="A264" s="95" t="s">
        <v>28</v>
      </c>
      <c r="B264" s="69">
        <f>SUM(B256:B263)</f>
        <v>48</v>
      </c>
      <c r="C264" s="95" t="str">
        <f xml:space="preserve"> setValueToTime(B264)</f>
        <v>4h</v>
      </c>
      <c r="D264" s="104"/>
      <c r="E264" s="201"/>
      <c r="F264" s="202"/>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3</v>
      </c>
      <c r="C266" s="146"/>
      <c r="D266" s="67" t="s">
        <v>14</v>
      </c>
      <c r="E266" s="79">
        <v>45415</v>
      </c>
      <c r="F266" s="110" t="s">
        <v>53</v>
      </c>
      <c r="G266" s="39"/>
    </row>
    <row r="267" spans="1:7" s="40" customFormat="1" ht="30" customHeight="1" thickBot="1" x14ac:dyDescent="0.3">
      <c r="A267" s="65" t="s">
        <v>5</v>
      </c>
      <c r="B267" s="133" t="s">
        <v>40</v>
      </c>
      <c r="C267" s="134"/>
      <c r="D267" s="65" t="s">
        <v>12</v>
      </c>
      <c r="E267" s="195" t="s">
        <v>13</v>
      </c>
      <c r="F267" s="196"/>
      <c r="G267" s="39"/>
    </row>
    <row r="268" spans="1:7" s="44" customFormat="1" x14ac:dyDescent="0.3">
      <c r="A268" s="41" t="s">
        <v>15</v>
      </c>
      <c r="B268" s="42">
        <v>6</v>
      </c>
      <c r="C268" s="135" t="str">
        <f xml:space="preserve"> IF(B268="","",setValueToTime(B268))</f>
        <v>0h30min</v>
      </c>
      <c r="D268" s="43" t="s">
        <v>58</v>
      </c>
      <c r="E268" s="197"/>
      <c r="F268" s="198"/>
      <c r="G268" s="3"/>
    </row>
    <row r="269" spans="1:7" s="44" customFormat="1" x14ac:dyDescent="0.3">
      <c r="A269" s="45" t="s">
        <v>42</v>
      </c>
      <c r="B269" s="46">
        <v>6</v>
      </c>
      <c r="C269" s="136" t="str">
        <f t="shared" ref="C269:C275" si="22" xml:space="preserve"> IF(B269="","",setValueToTime(B269))</f>
        <v>0h30min</v>
      </c>
      <c r="D269" s="47" t="s">
        <v>59</v>
      </c>
      <c r="E269" s="199"/>
      <c r="F269" s="200"/>
      <c r="G269" s="3"/>
    </row>
    <row r="270" spans="1:7" s="44" customFormat="1" ht="27" x14ac:dyDescent="0.3">
      <c r="A270" s="45" t="s">
        <v>44</v>
      </c>
      <c r="B270" s="46">
        <v>25</v>
      </c>
      <c r="C270" s="136" t="str">
        <f t="shared" si="22"/>
        <v>2h5min</v>
      </c>
      <c r="D270" s="47" t="s">
        <v>82</v>
      </c>
      <c r="E270" s="199"/>
      <c r="F270" s="200"/>
      <c r="G270" s="3"/>
    </row>
    <row r="271" spans="1:7" s="44" customFormat="1" x14ac:dyDescent="0.3">
      <c r="A271" s="45" t="s">
        <v>16</v>
      </c>
      <c r="B271" s="46">
        <v>1</v>
      </c>
      <c r="C271" s="136" t="str">
        <f t="shared" si="22"/>
        <v>0h5min</v>
      </c>
      <c r="D271" s="47" t="s">
        <v>60</v>
      </c>
      <c r="E271" s="199"/>
      <c r="F271" s="200"/>
      <c r="G271" s="3"/>
    </row>
    <row r="272" spans="1:7" s="44" customFormat="1" x14ac:dyDescent="0.3">
      <c r="A272" s="46"/>
      <c r="B272" s="46"/>
      <c r="C272" s="137" t="str">
        <f t="shared" si="22"/>
        <v/>
      </c>
      <c r="D272" s="47"/>
      <c r="E272" s="199"/>
      <c r="F272" s="200"/>
      <c r="G272" s="3"/>
    </row>
    <row r="273" spans="1:7" s="44" customFormat="1" x14ac:dyDescent="0.3">
      <c r="A273" s="46"/>
      <c r="B273" s="46"/>
      <c r="C273" s="137" t="str">
        <f t="shared" si="22"/>
        <v/>
      </c>
      <c r="D273" s="47"/>
      <c r="E273" s="199"/>
      <c r="F273" s="200"/>
      <c r="G273" s="3"/>
    </row>
    <row r="274" spans="1:7" s="44" customFormat="1" x14ac:dyDescent="0.3">
      <c r="A274" s="46"/>
      <c r="B274" s="46"/>
      <c r="C274" s="137" t="str">
        <f t="shared" si="22"/>
        <v/>
      </c>
      <c r="D274" s="47"/>
      <c r="E274" s="199"/>
      <c r="F274" s="200"/>
      <c r="G274" s="3"/>
    </row>
    <row r="275" spans="1:7" s="44" customFormat="1" ht="15" thickBot="1" x14ac:dyDescent="0.35">
      <c r="A275" s="48"/>
      <c r="B275" s="48"/>
      <c r="C275" s="138" t="str">
        <f t="shared" si="22"/>
        <v/>
      </c>
      <c r="D275" s="49"/>
      <c r="E275" s="203"/>
      <c r="F275" s="204"/>
      <c r="G275" s="3"/>
    </row>
    <row r="276" spans="1:7" s="44" customFormat="1" ht="15" thickBot="1" x14ac:dyDescent="0.35">
      <c r="A276" s="95" t="s">
        <v>28</v>
      </c>
      <c r="B276" s="69">
        <f>SUM(B268:B275)</f>
        <v>38</v>
      </c>
      <c r="C276" s="95" t="str">
        <f xml:space="preserve"> setValueToTime(B276)</f>
        <v>3h10min</v>
      </c>
      <c r="D276" s="104"/>
      <c r="E276" s="201"/>
      <c r="F276" s="202"/>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2</v>
      </c>
      <c r="C278" s="146"/>
      <c r="D278" s="67" t="s">
        <v>14</v>
      </c>
      <c r="E278" s="79">
        <v>45415</v>
      </c>
      <c r="F278" s="110" t="s">
        <v>56</v>
      </c>
      <c r="G278" s="39"/>
    </row>
    <row r="279" spans="1:7" s="40" customFormat="1" ht="30" customHeight="1" thickBot="1" x14ac:dyDescent="0.3">
      <c r="A279" s="65" t="s">
        <v>5</v>
      </c>
      <c r="B279" s="133" t="s">
        <v>40</v>
      </c>
      <c r="C279" s="134"/>
      <c r="D279" s="65" t="s">
        <v>12</v>
      </c>
      <c r="E279" s="195" t="s">
        <v>13</v>
      </c>
      <c r="F279" s="196"/>
      <c r="G279" s="39"/>
    </row>
    <row r="280" spans="1:7" s="44" customFormat="1" x14ac:dyDescent="0.3">
      <c r="A280" s="41" t="s">
        <v>31</v>
      </c>
      <c r="B280" s="42">
        <v>18</v>
      </c>
      <c r="C280" s="135" t="str">
        <f xml:space="preserve"> IF(B280="","",setValueToTime(B280))</f>
        <v>1h30min</v>
      </c>
      <c r="D280" s="43" t="s">
        <v>55</v>
      </c>
      <c r="E280" s="197"/>
      <c r="F280" s="198"/>
      <c r="G280" s="3"/>
    </row>
    <row r="281" spans="1:7" s="44" customFormat="1" x14ac:dyDescent="0.3">
      <c r="A281" s="45" t="s">
        <v>31</v>
      </c>
      <c r="B281" s="46">
        <v>29</v>
      </c>
      <c r="C281" s="136" t="str">
        <f t="shared" ref="C281:C287" si="23" xml:space="preserve"> IF(B281="","",setValueToTime(B281))</f>
        <v>2h25min</v>
      </c>
      <c r="D281" s="47" t="s">
        <v>54</v>
      </c>
      <c r="E281" s="199"/>
      <c r="F281" s="200"/>
      <c r="G281" s="3"/>
    </row>
    <row r="282" spans="1:7" s="44" customFormat="1" x14ac:dyDescent="0.3">
      <c r="A282" s="45" t="s">
        <v>16</v>
      </c>
      <c r="B282" s="46">
        <v>1</v>
      </c>
      <c r="C282" s="136" t="str">
        <f t="shared" si="23"/>
        <v>0h5min</v>
      </c>
      <c r="D282" s="47" t="s">
        <v>57</v>
      </c>
      <c r="E282" s="199"/>
      <c r="F282" s="200"/>
      <c r="G282" s="3"/>
    </row>
    <row r="283" spans="1:7" s="44" customFormat="1" x14ac:dyDescent="0.3">
      <c r="A283" s="45"/>
      <c r="B283" s="46"/>
      <c r="C283" s="136" t="str">
        <f t="shared" si="23"/>
        <v/>
      </c>
      <c r="D283" s="47"/>
      <c r="E283" s="199"/>
      <c r="F283" s="200"/>
      <c r="G283" s="3"/>
    </row>
    <row r="284" spans="1:7" s="44" customFormat="1" x14ac:dyDescent="0.3">
      <c r="A284" s="46"/>
      <c r="B284" s="46"/>
      <c r="C284" s="137" t="str">
        <f t="shared" si="23"/>
        <v/>
      </c>
      <c r="D284" s="47"/>
      <c r="E284" s="199"/>
      <c r="F284" s="200"/>
      <c r="G284" s="3"/>
    </row>
    <row r="285" spans="1:7" s="44" customFormat="1" x14ac:dyDescent="0.3">
      <c r="A285" s="46"/>
      <c r="B285" s="46"/>
      <c r="C285" s="137" t="str">
        <f t="shared" si="23"/>
        <v/>
      </c>
      <c r="D285" s="47"/>
      <c r="E285" s="199"/>
      <c r="F285" s="200"/>
      <c r="G285" s="3"/>
    </row>
    <row r="286" spans="1:7" s="44" customFormat="1" x14ac:dyDescent="0.3">
      <c r="A286" s="46"/>
      <c r="B286" s="46"/>
      <c r="C286" s="137" t="str">
        <f t="shared" si="23"/>
        <v/>
      </c>
      <c r="D286" s="47"/>
      <c r="E286" s="199"/>
      <c r="F286" s="200"/>
      <c r="G286" s="3"/>
    </row>
    <row r="287" spans="1:7" s="44" customFormat="1" ht="15" thickBot="1" x14ac:dyDescent="0.35">
      <c r="A287" s="48"/>
      <c r="B287" s="48"/>
      <c r="C287" s="138" t="str">
        <f t="shared" si="23"/>
        <v/>
      </c>
      <c r="D287" s="49"/>
      <c r="E287" s="203"/>
      <c r="F287" s="204"/>
      <c r="G287" s="3"/>
    </row>
    <row r="288" spans="1:7" s="44" customFormat="1" ht="15" thickBot="1" x14ac:dyDescent="0.35">
      <c r="A288" s="95" t="s">
        <v>28</v>
      </c>
      <c r="B288" s="69">
        <f>SUM(B280:B287)</f>
        <v>48</v>
      </c>
      <c r="C288" s="95" t="str">
        <f xml:space="preserve"> setValueToTime(B288)</f>
        <v>4h</v>
      </c>
      <c r="D288" s="104"/>
      <c r="E288" s="201"/>
      <c r="F288" s="202"/>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1</v>
      </c>
      <c r="C290" s="146"/>
      <c r="D290" s="67" t="s">
        <v>14</v>
      </c>
      <c r="E290" s="79">
        <v>45414</v>
      </c>
      <c r="F290" s="110" t="s">
        <v>53</v>
      </c>
      <c r="G290" s="39"/>
    </row>
    <row r="291" spans="1:7" s="40" customFormat="1" ht="30" customHeight="1" thickBot="1" x14ac:dyDescent="0.3">
      <c r="A291" s="65" t="s">
        <v>5</v>
      </c>
      <c r="B291" s="133" t="s">
        <v>40</v>
      </c>
      <c r="C291" s="134"/>
      <c r="D291" s="65" t="s">
        <v>12</v>
      </c>
      <c r="E291" s="195" t="s">
        <v>13</v>
      </c>
      <c r="F291" s="196"/>
      <c r="G291" s="39"/>
    </row>
    <row r="292" spans="1:7" s="44" customFormat="1" x14ac:dyDescent="0.3">
      <c r="A292" s="41" t="s">
        <v>31</v>
      </c>
      <c r="B292" s="42">
        <v>37</v>
      </c>
      <c r="C292" s="135" t="str">
        <f xml:space="preserve"> IF(B292="","",setValueToTime(B292))</f>
        <v>3h5min</v>
      </c>
      <c r="D292" s="43" t="s">
        <v>54</v>
      </c>
      <c r="E292" s="197"/>
      <c r="F292" s="198"/>
      <c r="G292" s="3"/>
    </row>
    <row r="293" spans="1:7" s="44" customFormat="1" x14ac:dyDescent="0.3">
      <c r="A293" s="45" t="s">
        <v>16</v>
      </c>
      <c r="B293" s="46">
        <v>1</v>
      </c>
      <c r="C293" s="136" t="str">
        <f t="shared" ref="C293:C299" si="24" xml:space="preserve"> IF(B293="","",setValueToTime(B293))</f>
        <v>0h5min</v>
      </c>
      <c r="D293" s="47" t="s">
        <v>60</v>
      </c>
      <c r="E293" s="199"/>
      <c r="F293" s="200"/>
      <c r="G293" s="3"/>
    </row>
    <row r="294" spans="1:7" s="44" customFormat="1" x14ac:dyDescent="0.3">
      <c r="A294" s="45"/>
      <c r="B294" s="46"/>
      <c r="C294" s="136" t="str">
        <f t="shared" si="24"/>
        <v/>
      </c>
      <c r="D294" s="47"/>
      <c r="E294" s="199"/>
      <c r="F294" s="200"/>
      <c r="G294" s="3"/>
    </row>
    <row r="295" spans="1:7" s="44" customFormat="1" x14ac:dyDescent="0.3">
      <c r="A295" s="45"/>
      <c r="B295" s="46"/>
      <c r="C295" s="136" t="str">
        <f t="shared" si="24"/>
        <v/>
      </c>
      <c r="D295" s="47"/>
      <c r="E295" s="199"/>
      <c r="F295" s="200"/>
      <c r="G295" s="3"/>
    </row>
    <row r="296" spans="1:7" s="44" customFormat="1" x14ac:dyDescent="0.3">
      <c r="A296" s="46"/>
      <c r="B296" s="46"/>
      <c r="C296" s="137" t="str">
        <f t="shared" si="24"/>
        <v/>
      </c>
      <c r="D296" s="47"/>
      <c r="E296" s="199"/>
      <c r="F296" s="200"/>
      <c r="G296" s="3"/>
    </row>
    <row r="297" spans="1:7" s="44" customFormat="1" x14ac:dyDescent="0.3">
      <c r="A297" s="46"/>
      <c r="B297" s="46"/>
      <c r="C297" s="137" t="str">
        <f t="shared" si="24"/>
        <v/>
      </c>
      <c r="D297" s="47"/>
      <c r="E297" s="199"/>
      <c r="F297" s="200"/>
      <c r="G297" s="3"/>
    </row>
    <row r="298" spans="1:7" s="44" customFormat="1" x14ac:dyDescent="0.3">
      <c r="A298" s="46"/>
      <c r="B298" s="46"/>
      <c r="C298" s="137" t="str">
        <f t="shared" si="24"/>
        <v/>
      </c>
      <c r="D298" s="47"/>
      <c r="E298" s="199"/>
      <c r="F298" s="200"/>
      <c r="G298" s="3"/>
    </row>
    <row r="299" spans="1:7" s="44" customFormat="1" ht="15" thickBot="1" x14ac:dyDescent="0.35">
      <c r="A299" s="48"/>
      <c r="B299" s="48"/>
      <c r="C299" s="138" t="str">
        <f t="shared" si="24"/>
        <v/>
      </c>
      <c r="D299" s="49"/>
      <c r="E299" s="203"/>
      <c r="F299" s="204"/>
      <c r="G299" s="3"/>
    </row>
    <row r="300" spans="1:7" s="44" customFormat="1" ht="15" thickBot="1" x14ac:dyDescent="0.35">
      <c r="A300" s="95" t="s">
        <v>28</v>
      </c>
      <c r="B300" s="69">
        <f>SUM(B292:B299)</f>
        <v>38</v>
      </c>
      <c r="C300" s="95" t="str">
        <f xml:space="preserve"> setValueToTime(B300)</f>
        <v>3h10min</v>
      </c>
      <c r="D300" s="104"/>
      <c r="E300" s="201"/>
      <c r="F300" s="202"/>
      <c r="G300" s="3"/>
    </row>
    <row r="301" spans="1:7" s="44" customFormat="1" x14ac:dyDescent="0.3">
      <c r="A301" s="64"/>
      <c r="B301" s="64"/>
      <c r="C301" s="64"/>
      <c r="D301" s="64"/>
      <c r="E301" s="64"/>
      <c r="F301" s="64"/>
      <c r="G301" s="3"/>
    </row>
  </sheetData>
  <sheetProtection formatRows="0" insertRows="0" insertHyperlinks="0" deleteRows="0" selectLockedCells="1"/>
  <mergeCells count="250">
    <mergeCell ref="E297:F297"/>
    <mergeCell ref="E298:F298"/>
    <mergeCell ref="E299:F299"/>
    <mergeCell ref="E300:F300"/>
    <mergeCell ref="E279:F279"/>
    <mergeCell ref="E280:F280"/>
    <mergeCell ref="E281:F281"/>
    <mergeCell ref="E282:F282"/>
    <mergeCell ref="E283:F283"/>
    <mergeCell ref="E284:F284"/>
    <mergeCell ref="E291:F291"/>
    <mergeCell ref="E292:F292"/>
    <mergeCell ref="E293:F293"/>
    <mergeCell ref="E294:F294"/>
    <mergeCell ref="E295:F295"/>
    <mergeCell ref="E296:F296"/>
    <mergeCell ref="E285:F285"/>
    <mergeCell ref="E286:F286"/>
    <mergeCell ref="E287:F287"/>
    <mergeCell ref="E288:F288"/>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00">
    <cfRule type="cellIs" dxfId="50" priority="25" operator="greaterThan">
      <formula>60</formula>
    </cfRule>
  </conditionalFormatting>
  <conditionalFormatting sqref="B288">
    <cfRule type="cellIs" dxfId="49" priority="24" operator="greaterThan">
      <formula>60</formula>
    </cfRule>
  </conditionalFormatting>
  <conditionalFormatting sqref="B276">
    <cfRule type="cellIs" dxfId="48" priority="23" operator="greaterThan">
      <formula>60</formula>
    </cfRule>
  </conditionalFormatting>
  <conditionalFormatting sqref="B264">
    <cfRule type="cellIs" dxfId="47" priority="22" operator="greaterThan">
      <formula>60</formula>
    </cfRule>
  </conditionalFormatting>
  <conditionalFormatting sqref="B252">
    <cfRule type="cellIs" dxfId="46" priority="21" operator="greaterThan">
      <formula>60</formula>
    </cfRule>
  </conditionalFormatting>
  <conditionalFormatting sqref="B240">
    <cfRule type="cellIs" dxfId="45" priority="20" operator="greaterThan">
      <formula>60</formula>
    </cfRule>
  </conditionalFormatting>
  <conditionalFormatting sqref="B228">
    <cfRule type="cellIs" dxfId="44" priority="19" operator="greaterThan">
      <formula>60</formula>
    </cfRule>
  </conditionalFormatting>
  <conditionalFormatting sqref="B216">
    <cfRule type="cellIs" dxfId="43" priority="18" operator="greaterThan">
      <formula>60</formula>
    </cfRule>
  </conditionalFormatting>
  <conditionalFormatting sqref="B204">
    <cfRule type="cellIs" dxfId="42" priority="17" operator="greaterThan">
      <formula>60</formula>
    </cfRule>
  </conditionalFormatting>
  <conditionalFormatting sqref="B192">
    <cfRule type="cellIs" dxfId="41" priority="16" operator="greaterThan">
      <formula>60</formula>
    </cfRule>
  </conditionalFormatting>
  <conditionalFormatting sqref="B180">
    <cfRule type="cellIs" dxfId="40" priority="15" operator="greaterThan">
      <formula>60</formula>
    </cfRule>
  </conditionalFormatting>
  <conditionalFormatting sqref="B168">
    <cfRule type="cellIs" dxfId="39" priority="14" operator="greaterThan">
      <formula>60</formula>
    </cfRule>
  </conditionalFormatting>
  <conditionalFormatting sqref="B156">
    <cfRule type="cellIs" dxfId="38" priority="13" operator="greaterThan">
      <formula>60</formula>
    </cfRule>
  </conditionalFormatting>
  <conditionalFormatting sqref="B144">
    <cfRule type="cellIs" dxfId="37" priority="12" operator="greaterThan">
      <formula>60</formula>
    </cfRule>
  </conditionalFormatting>
  <conditionalFormatting sqref="B132">
    <cfRule type="cellIs" dxfId="36" priority="11" operator="greaterThan">
      <formula>60</formula>
    </cfRule>
  </conditionalFormatting>
  <conditionalFormatting sqref="B120">
    <cfRule type="cellIs" dxfId="35" priority="10" operator="greaterThan">
      <formula>60</formula>
    </cfRule>
  </conditionalFormatting>
  <conditionalFormatting sqref="B108">
    <cfRule type="cellIs" dxfId="34" priority="9" operator="greaterThan">
      <formula>60</formula>
    </cfRule>
  </conditionalFormatting>
  <conditionalFormatting sqref="B96">
    <cfRule type="cellIs" dxfId="33" priority="8" operator="greaterThan">
      <formula>60</formula>
    </cfRule>
  </conditionalFormatting>
  <conditionalFormatting sqref="B84">
    <cfRule type="cellIs" dxfId="32" priority="7" operator="greaterThan">
      <formula>60</formula>
    </cfRule>
  </conditionalFormatting>
  <conditionalFormatting sqref="B72">
    <cfRule type="cellIs" dxfId="31" priority="6" operator="greaterThan">
      <formula>60</formula>
    </cfRule>
  </conditionalFormatting>
  <conditionalFormatting sqref="B60">
    <cfRule type="cellIs" dxfId="30" priority="5" operator="greaterThan">
      <formula>60</formula>
    </cfRule>
  </conditionalFormatting>
  <conditionalFormatting sqref="B48">
    <cfRule type="cellIs" dxfId="29" priority="4" operator="greaterThan">
      <formula>60</formula>
    </cfRule>
  </conditionalFormatting>
  <conditionalFormatting sqref="B36">
    <cfRule type="cellIs" dxfId="28" priority="3" operator="greaterThan">
      <formula>60</formula>
    </cfRule>
  </conditionalFormatting>
  <conditionalFormatting sqref="B24">
    <cfRule type="cellIs" dxfId="27" priority="2" operator="greaterThan">
      <formula>60</formula>
    </cfRule>
  </conditionalFormatting>
  <conditionalFormatting sqref="B12">
    <cfRule type="cellIs" dxfId="26"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00 B288 B276 B264 B252 B240 B228 B216 B204 B192 B180 B168 B156 B144 B132 B120 B108 B96 B84 B72 B60 B48 B36 B24 B12" xr:uid="{91136A8C-27BC-4978-B5A7-39CC4CADDAD2}">
      <formula1>0</formula1>
      <formula2>60</formula2>
    </dataValidation>
    <dataValidation type="whole" operator="greaterThan" allowBlank="1" showInputMessage="1" showErrorMessage="1" errorTitle="Durée par tranche de 10min" error="Le nombre doit être de type entier" sqref="B292:B299 B280:B287 B268:B275 B40:B47 B244:B251 B232:B239 B220:B227 B208:B215 B196:B203 B184:B191 B172:B179 B160:B167 B136:B143 B4:B11 B124:B131 B112:B119 B100:B107 B88:B95 B76:B83 B64:B71 B52:B59 B148:B155 B28:B35 B16:B23 B256:B263" xr:uid="{7F614FAF-507E-4022-9E9F-08E5A8247A3B}">
      <formula1>0</formula1>
    </dataValidation>
    <dataValidation type="list" allowBlank="1" showInputMessage="1" showErrorMessage="1" sqref="A292:A299 A280:A287 A268:A275 A40:A47 A244:A251 A232:A239 A220:A227 A208:A215 A196:A203 A184:A191 A172:A179 A160:A167 A136:A143 A4:A11 A124:A131 A112:A119 A100:A107 A88:A95 A76:A83 A64:A71 A52:A59 A148:A155 A28:A35 A16:A23 A256:A263" xr:uid="{8C3E722A-1F2A-4C83-B90A-2FCE61D4B845}">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4"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G289"/>
  <sheetViews>
    <sheetView showGridLines="0" tabSelected="1" zoomScale="85" zoomScaleNormal="85" zoomScaleSheetLayoutView="98" workbookViewId="0">
      <pane ySplit="1" topLeftCell="A25" activePane="bottomLeft" state="frozen"/>
      <selection pane="bottomLeft" activeCell="D31" sqref="D31"/>
    </sheetView>
  </sheetViews>
  <sheetFormatPr baseColWidth="10" defaultColWidth="11.42578125" defaultRowHeight="14.25" x14ac:dyDescent="0.3"/>
  <cols>
    <col min="1" max="1" width="21.42578125" style="50" customWidth="1"/>
    <col min="2" max="2" width="9" style="50" bestFit="1" customWidth="1"/>
    <col min="3" max="3" width="9.140625" style="50" bestFit="1" customWidth="1"/>
    <col min="4" max="4" width="91" style="50" customWidth="1"/>
    <col min="5" max="5" width="30.14062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24</v>
      </c>
      <c r="C2" s="147"/>
      <c r="D2" s="140" t="s">
        <v>14</v>
      </c>
      <c r="E2" s="141">
        <v>45443</v>
      </c>
      <c r="F2" s="142" t="s">
        <v>53</v>
      </c>
      <c r="G2" s="39"/>
    </row>
    <row r="3" spans="1:7" s="40" customFormat="1" ht="30" customHeight="1" thickBot="1" x14ac:dyDescent="0.3">
      <c r="A3" s="63" t="s">
        <v>5</v>
      </c>
      <c r="B3" s="144" t="s">
        <v>40</v>
      </c>
      <c r="C3" s="143"/>
      <c r="D3" s="63" t="s">
        <v>12</v>
      </c>
      <c r="E3" s="207" t="s">
        <v>13</v>
      </c>
      <c r="F3" s="208"/>
      <c r="G3" s="39"/>
    </row>
    <row r="4" spans="1:7" s="44" customFormat="1" ht="48" customHeight="1" x14ac:dyDescent="0.3">
      <c r="A4" s="41" t="s">
        <v>15</v>
      </c>
      <c r="B4" s="42">
        <v>37</v>
      </c>
      <c r="C4" s="135" t="str">
        <f xml:space="preserve"> IF(B4="","",setValueToTime(B4))</f>
        <v>3h5min</v>
      </c>
      <c r="D4" s="43" t="s">
        <v>139</v>
      </c>
      <c r="E4" s="197"/>
      <c r="F4" s="198"/>
      <c r="G4" s="3"/>
    </row>
    <row r="5" spans="1:7" s="44" customFormat="1" ht="27" x14ac:dyDescent="0.3">
      <c r="A5" s="45" t="s">
        <v>16</v>
      </c>
      <c r="B5" s="46">
        <v>1</v>
      </c>
      <c r="C5" s="136" t="str">
        <f t="shared" ref="C5:C11" si="0" xml:space="preserve"> IF(B5="","",setValueToTime(B5))</f>
        <v>0h5min</v>
      </c>
      <c r="D5" s="47" t="s">
        <v>57</v>
      </c>
      <c r="E5" s="199"/>
      <c r="F5" s="200"/>
      <c r="G5" s="3"/>
    </row>
    <row r="6" spans="1:7" s="44" customFormat="1" x14ac:dyDescent="0.3">
      <c r="A6" s="45"/>
      <c r="B6" s="46"/>
      <c r="C6" s="136" t="str">
        <f t="shared" si="0"/>
        <v/>
      </c>
      <c r="D6" s="47"/>
      <c r="E6" s="199"/>
      <c r="F6" s="200"/>
      <c r="G6" s="3"/>
    </row>
    <row r="7" spans="1:7" s="44" customFormat="1" x14ac:dyDescent="0.3">
      <c r="A7" s="45"/>
      <c r="B7" s="46"/>
      <c r="C7" s="136" t="str">
        <f t="shared" si="0"/>
        <v/>
      </c>
      <c r="D7" s="47"/>
      <c r="E7" s="199"/>
      <c r="F7" s="200"/>
      <c r="G7" s="3"/>
    </row>
    <row r="8" spans="1:7" s="44" customFormat="1" x14ac:dyDescent="0.3">
      <c r="A8" s="46"/>
      <c r="B8" s="46"/>
      <c r="C8" s="137" t="str">
        <f t="shared" si="0"/>
        <v/>
      </c>
      <c r="D8" s="47"/>
      <c r="E8" s="199"/>
      <c r="F8" s="200"/>
      <c r="G8" s="3"/>
    </row>
    <row r="9" spans="1:7" s="44" customFormat="1" x14ac:dyDescent="0.3">
      <c r="A9" s="46"/>
      <c r="B9" s="46"/>
      <c r="C9" s="137" t="str">
        <f t="shared" si="0"/>
        <v/>
      </c>
      <c r="D9" s="47"/>
      <c r="E9" s="199"/>
      <c r="F9" s="200"/>
      <c r="G9" s="3"/>
    </row>
    <row r="10" spans="1:7" s="44" customFormat="1" x14ac:dyDescent="0.3">
      <c r="A10" s="46"/>
      <c r="B10" s="46"/>
      <c r="C10" s="137" t="str">
        <f t="shared" si="0"/>
        <v/>
      </c>
      <c r="D10" s="47"/>
      <c r="E10" s="199"/>
      <c r="F10" s="200"/>
      <c r="G10" s="3"/>
    </row>
    <row r="11" spans="1:7" s="44" customFormat="1" ht="15" thickBot="1" x14ac:dyDescent="0.35">
      <c r="A11" s="48"/>
      <c r="B11" s="48"/>
      <c r="C11" s="138" t="str">
        <f t="shared" si="0"/>
        <v/>
      </c>
      <c r="D11" s="49"/>
      <c r="E11" s="203"/>
      <c r="F11" s="204"/>
      <c r="G11" s="3"/>
    </row>
    <row r="12" spans="1:7" s="44" customFormat="1" ht="15" thickBot="1" x14ac:dyDescent="0.35">
      <c r="A12" s="145" t="s">
        <v>28</v>
      </c>
      <c r="B12" s="68">
        <f>SUM(B4:B11)</f>
        <v>38</v>
      </c>
      <c r="C12" s="145" t="str">
        <f xml:space="preserve"> setValueToTime(B12)</f>
        <v>3h10min</v>
      </c>
      <c r="D12" s="105"/>
      <c r="E12" s="205"/>
      <c r="F12" s="206"/>
      <c r="G12" s="3"/>
    </row>
    <row r="13" spans="1:7" s="44" customFormat="1" ht="15" thickBot="1" x14ac:dyDescent="0.35">
      <c r="A13" s="62"/>
      <c r="B13" s="62"/>
      <c r="C13" s="62"/>
      <c r="D13" s="62"/>
      <c r="E13" s="62"/>
      <c r="F13" s="62"/>
      <c r="G13" s="3"/>
    </row>
    <row r="14" spans="1:7" s="40" customFormat="1" ht="30" customHeight="1" thickBot="1" x14ac:dyDescent="0.3">
      <c r="A14" s="139" t="s">
        <v>11</v>
      </c>
      <c r="B14" s="147">
        <v>23</v>
      </c>
      <c r="C14" s="147"/>
      <c r="D14" s="140" t="s">
        <v>14</v>
      </c>
      <c r="E14" s="141">
        <v>45443</v>
      </c>
      <c r="F14" s="142" t="s">
        <v>56</v>
      </c>
      <c r="G14" s="39"/>
    </row>
    <row r="15" spans="1:7" s="40" customFormat="1" ht="30" customHeight="1" thickBot="1" x14ac:dyDescent="0.3">
      <c r="A15" s="63" t="s">
        <v>5</v>
      </c>
      <c r="B15" s="144" t="s">
        <v>40</v>
      </c>
      <c r="C15" s="143"/>
      <c r="D15" s="63" t="s">
        <v>12</v>
      </c>
      <c r="E15" s="207" t="s">
        <v>13</v>
      </c>
      <c r="F15" s="208"/>
      <c r="G15" s="39"/>
    </row>
    <row r="16" spans="1:7" s="44" customFormat="1" ht="40.5" x14ac:dyDescent="0.3">
      <c r="A16" s="41" t="s">
        <v>15</v>
      </c>
      <c r="B16" s="42">
        <v>47</v>
      </c>
      <c r="C16" s="135" t="str">
        <f xml:space="preserve"> IF(B16="","",setValueToTime(B16))</f>
        <v>3h55min</v>
      </c>
      <c r="D16" s="43" t="s">
        <v>138</v>
      </c>
      <c r="E16" s="197"/>
      <c r="F16" s="198"/>
      <c r="G16" s="3"/>
    </row>
    <row r="17" spans="1:7" s="44" customFormat="1" ht="27" x14ac:dyDescent="0.3">
      <c r="A17" s="45" t="s">
        <v>16</v>
      </c>
      <c r="B17" s="46">
        <v>1</v>
      </c>
      <c r="C17" s="136" t="str">
        <f t="shared" ref="C17:C23" si="1" xml:space="preserve"> IF(B17="","",setValueToTime(B17))</f>
        <v>0h5min</v>
      </c>
      <c r="D17" s="47" t="s">
        <v>57</v>
      </c>
      <c r="E17" s="199"/>
      <c r="F17" s="200"/>
      <c r="G17" s="3"/>
    </row>
    <row r="18" spans="1:7" s="44" customFormat="1" x14ac:dyDescent="0.3">
      <c r="A18" s="45"/>
      <c r="B18" s="46"/>
      <c r="C18" s="136" t="str">
        <f t="shared" si="1"/>
        <v/>
      </c>
      <c r="D18" s="47"/>
      <c r="E18" s="199"/>
      <c r="F18" s="200"/>
      <c r="G18" s="3"/>
    </row>
    <row r="19" spans="1:7" s="44" customFormat="1" x14ac:dyDescent="0.3">
      <c r="A19" s="45"/>
      <c r="B19" s="46"/>
      <c r="C19" s="136" t="str">
        <f t="shared" si="1"/>
        <v/>
      </c>
      <c r="D19" s="47"/>
      <c r="E19" s="199"/>
      <c r="F19" s="200"/>
      <c r="G19" s="3"/>
    </row>
    <row r="20" spans="1:7" s="44" customFormat="1" x14ac:dyDescent="0.3">
      <c r="A20" s="46"/>
      <c r="B20" s="46"/>
      <c r="C20" s="137" t="str">
        <f t="shared" si="1"/>
        <v/>
      </c>
      <c r="D20" s="47"/>
      <c r="E20" s="199"/>
      <c r="F20" s="200"/>
      <c r="G20" s="3"/>
    </row>
    <row r="21" spans="1:7" s="44" customFormat="1" x14ac:dyDescent="0.3">
      <c r="A21" s="46"/>
      <c r="B21" s="46"/>
      <c r="C21" s="137" t="str">
        <f t="shared" si="1"/>
        <v/>
      </c>
      <c r="D21" s="47"/>
      <c r="E21" s="199"/>
      <c r="F21" s="200"/>
      <c r="G21" s="3"/>
    </row>
    <row r="22" spans="1:7" s="44" customFormat="1" x14ac:dyDescent="0.3">
      <c r="A22" s="46"/>
      <c r="B22" s="46"/>
      <c r="C22" s="137" t="str">
        <f t="shared" si="1"/>
        <v/>
      </c>
      <c r="D22" s="47"/>
      <c r="E22" s="199"/>
      <c r="F22" s="200"/>
      <c r="G22" s="3"/>
    </row>
    <row r="23" spans="1:7" s="44" customFormat="1" ht="15" thickBot="1" x14ac:dyDescent="0.35">
      <c r="A23" s="48"/>
      <c r="B23" s="48"/>
      <c r="C23" s="138" t="str">
        <f t="shared" si="1"/>
        <v/>
      </c>
      <c r="D23" s="49"/>
      <c r="E23" s="203"/>
      <c r="F23" s="204"/>
      <c r="G23" s="3"/>
    </row>
    <row r="24" spans="1:7" s="44" customFormat="1" ht="15" thickBot="1" x14ac:dyDescent="0.35">
      <c r="A24" s="145" t="s">
        <v>28</v>
      </c>
      <c r="B24" s="68">
        <f>SUM(B16:B23)</f>
        <v>48</v>
      </c>
      <c r="C24" s="145" t="str">
        <f xml:space="preserve"> setValueToTime(B24)</f>
        <v>4h</v>
      </c>
      <c r="D24" s="105"/>
      <c r="E24" s="205"/>
      <c r="F24" s="206"/>
      <c r="G24" s="3"/>
    </row>
    <row r="25" spans="1:7" s="44" customFormat="1" ht="15" thickBot="1" x14ac:dyDescent="0.35">
      <c r="A25" s="62"/>
      <c r="B25" s="62"/>
      <c r="C25" s="62"/>
      <c r="D25" s="62"/>
      <c r="E25" s="62"/>
      <c r="F25" s="62"/>
      <c r="G25" s="3"/>
    </row>
    <row r="26" spans="1:7" s="40" customFormat="1" ht="30" customHeight="1" thickBot="1" x14ac:dyDescent="0.3">
      <c r="A26" s="139" t="s">
        <v>11</v>
      </c>
      <c r="B26" s="147">
        <v>22</v>
      </c>
      <c r="C26" s="147"/>
      <c r="D26" s="140" t="s">
        <v>14</v>
      </c>
      <c r="E26" s="141">
        <v>45442</v>
      </c>
      <c r="F26" s="142" t="s">
        <v>53</v>
      </c>
      <c r="G26" s="39"/>
    </row>
    <row r="27" spans="1:7" s="40" customFormat="1" ht="30" customHeight="1" thickBot="1" x14ac:dyDescent="0.3">
      <c r="A27" s="63" t="s">
        <v>5</v>
      </c>
      <c r="B27" s="144" t="s">
        <v>40</v>
      </c>
      <c r="C27" s="143"/>
      <c r="D27" s="63" t="s">
        <v>12</v>
      </c>
      <c r="E27" s="207" t="s">
        <v>13</v>
      </c>
      <c r="F27" s="208"/>
      <c r="G27" s="39"/>
    </row>
    <row r="28" spans="1:7" s="44" customFormat="1" ht="67.5" x14ac:dyDescent="0.3">
      <c r="A28" s="41" t="s">
        <v>46</v>
      </c>
      <c r="B28" s="42">
        <v>3</v>
      </c>
      <c r="C28" s="135" t="str">
        <f xml:space="preserve"> IF(B28="","",setValueToTime(B28))</f>
        <v>0h15min</v>
      </c>
      <c r="D28" s="43" t="s">
        <v>134</v>
      </c>
      <c r="E28" s="197"/>
      <c r="F28" s="198"/>
      <c r="G28" s="3"/>
    </row>
    <row r="29" spans="1:7" s="44" customFormat="1" ht="212.25" customHeight="1" x14ac:dyDescent="0.3">
      <c r="A29" s="45" t="s">
        <v>45</v>
      </c>
      <c r="B29" s="46">
        <v>28</v>
      </c>
      <c r="C29" s="136" t="str">
        <f t="shared" ref="C29:C35" si="2" xml:space="preserve"> IF(B29="","",setValueToTime(B29))</f>
        <v>2h20min</v>
      </c>
      <c r="D29" s="47" t="s">
        <v>136</v>
      </c>
      <c r="E29" s="199"/>
      <c r="F29" s="200"/>
      <c r="G29" s="3"/>
    </row>
    <row r="30" spans="1:7" s="44" customFormat="1" ht="29.25" customHeight="1" x14ac:dyDescent="0.3">
      <c r="A30" s="45" t="s">
        <v>47</v>
      </c>
      <c r="B30" s="46">
        <v>6</v>
      </c>
      <c r="C30" s="136" t="str">
        <f t="shared" si="2"/>
        <v>0h30min</v>
      </c>
      <c r="D30" s="47" t="s">
        <v>137</v>
      </c>
      <c r="E30" s="199"/>
      <c r="F30" s="200"/>
      <c r="G30" s="3"/>
    </row>
    <row r="31" spans="1:7" s="44" customFormat="1" ht="27" x14ac:dyDescent="0.3">
      <c r="A31" s="45" t="s">
        <v>16</v>
      </c>
      <c r="B31" s="46">
        <v>1</v>
      </c>
      <c r="C31" s="136" t="str">
        <f t="shared" si="2"/>
        <v>0h5min</v>
      </c>
      <c r="D31" s="47" t="s">
        <v>57</v>
      </c>
      <c r="E31" s="199"/>
      <c r="F31" s="200"/>
      <c r="G31" s="3"/>
    </row>
    <row r="32" spans="1:7" s="44" customFormat="1" x14ac:dyDescent="0.3">
      <c r="A32" s="46"/>
      <c r="B32" s="46"/>
      <c r="C32" s="137" t="str">
        <f t="shared" si="2"/>
        <v/>
      </c>
      <c r="D32" s="47"/>
      <c r="E32" s="199"/>
      <c r="F32" s="200"/>
      <c r="G32" s="3"/>
    </row>
    <row r="33" spans="1:7" s="44" customFormat="1" x14ac:dyDescent="0.3">
      <c r="A33" s="46"/>
      <c r="B33" s="46"/>
      <c r="C33" s="137" t="str">
        <f t="shared" si="2"/>
        <v/>
      </c>
      <c r="D33" s="47"/>
      <c r="E33" s="199"/>
      <c r="F33" s="200"/>
      <c r="G33" s="3"/>
    </row>
    <row r="34" spans="1:7" s="44" customFormat="1" x14ac:dyDescent="0.3">
      <c r="A34" s="46"/>
      <c r="B34" s="46"/>
      <c r="C34" s="137" t="str">
        <f t="shared" si="2"/>
        <v/>
      </c>
      <c r="D34" s="47"/>
      <c r="E34" s="199"/>
      <c r="F34" s="200"/>
      <c r="G34" s="3"/>
    </row>
    <row r="35" spans="1:7" s="44" customFormat="1" ht="15" thickBot="1" x14ac:dyDescent="0.35">
      <c r="A35" s="48"/>
      <c r="B35" s="48"/>
      <c r="C35" s="138" t="str">
        <f t="shared" si="2"/>
        <v/>
      </c>
      <c r="D35" s="49"/>
      <c r="E35" s="203"/>
      <c r="F35" s="204"/>
      <c r="G35" s="3"/>
    </row>
    <row r="36" spans="1:7" s="44" customFormat="1" ht="15" thickBot="1" x14ac:dyDescent="0.35">
      <c r="A36" s="145" t="s">
        <v>28</v>
      </c>
      <c r="B36" s="68">
        <f>SUM(B28:B35)</f>
        <v>38</v>
      </c>
      <c r="C36" s="145" t="str">
        <f xml:space="preserve"> setValueToTime(B36)</f>
        <v>3h10min</v>
      </c>
      <c r="D36" s="105"/>
      <c r="E36" s="205"/>
      <c r="F36" s="206"/>
      <c r="G36" s="3"/>
    </row>
    <row r="37" spans="1:7" s="44" customFormat="1" ht="15" thickBot="1" x14ac:dyDescent="0.35">
      <c r="A37" s="62"/>
      <c r="B37" s="62"/>
      <c r="C37" s="62"/>
      <c r="D37" s="62"/>
      <c r="E37" s="62"/>
      <c r="F37" s="62"/>
      <c r="G37" s="3"/>
    </row>
    <row r="38" spans="1:7" s="40" customFormat="1" ht="30" customHeight="1" thickBot="1" x14ac:dyDescent="0.3">
      <c r="A38" s="139" t="s">
        <v>11</v>
      </c>
      <c r="B38" s="147">
        <v>21</v>
      </c>
      <c r="C38" s="147"/>
      <c r="D38" s="140" t="s">
        <v>14</v>
      </c>
      <c r="E38" s="141">
        <v>45441</v>
      </c>
      <c r="F38" s="142" t="s">
        <v>53</v>
      </c>
      <c r="G38" s="39"/>
    </row>
    <row r="39" spans="1:7" s="40" customFormat="1" ht="30" customHeight="1" thickBot="1" x14ac:dyDescent="0.3">
      <c r="A39" s="63" t="s">
        <v>5</v>
      </c>
      <c r="B39" s="144" t="s">
        <v>40</v>
      </c>
      <c r="C39" s="143"/>
      <c r="D39" s="63" t="s">
        <v>12</v>
      </c>
      <c r="E39" s="207" t="s">
        <v>13</v>
      </c>
      <c r="F39" s="208"/>
      <c r="G39" s="39"/>
    </row>
    <row r="40" spans="1:7" s="44" customFormat="1" ht="40.5" x14ac:dyDescent="0.3">
      <c r="A40" s="41" t="s">
        <v>71</v>
      </c>
      <c r="B40" s="42">
        <v>31</v>
      </c>
      <c r="C40" s="135" t="str">
        <f xml:space="preserve"> IF(B40="","",setValueToTime(B40))</f>
        <v>2h35min</v>
      </c>
      <c r="D40" s="43" t="s">
        <v>132</v>
      </c>
      <c r="E40" s="197"/>
      <c r="F40" s="198"/>
      <c r="G40" s="3"/>
    </row>
    <row r="41" spans="1:7" s="44" customFormat="1" ht="40.5" x14ac:dyDescent="0.3">
      <c r="A41" s="45" t="s">
        <v>15</v>
      </c>
      <c r="B41" s="46">
        <v>6</v>
      </c>
      <c r="C41" s="136" t="str">
        <f t="shared" ref="C41:C47" si="3" xml:space="preserve"> IF(B41="","",setValueToTime(B41))</f>
        <v>0h30min</v>
      </c>
      <c r="D41" s="47" t="s">
        <v>131</v>
      </c>
      <c r="E41" s="199"/>
      <c r="F41" s="200"/>
      <c r="G41" s="3"/>
    </row>
    <row r="42" spans="1:7" s="44" customFormat="1" ht="27" x14ac:dyDescent="0.3">
      <c r="A42" s="45" t="s">
        <v>16</v>
      </c>
      <c r="B42" s="46">
        <v>1</v>
      </c>
      <c r="C42" s="136" t="str">
        <f t="shared" si="3"/>
        <v>0h5min</v>
      </c>
      <c r="D42" s="47" t="s">
        <v>57</v>
      </c>
      <c r="E42" s="199"/>
      <c r="F42" s="200"/>
      <c r="G42" s="3"/>
    </row>
    <row r="43" spans="1:7" s="44" customFormat="1" x14ac:dyDescent="0.3">
      <c r="A43" s="45"/>
      <c r="B43" s="46"/>
      <c r="C43" s="136" t="str">
        <f t="shared" si="3"/>
        <v/>
      </c>
      <c r="D43" s="47"/>
      <c r="E43" s="199"/>
      <c r="F43" s="200"/>
      <c r="G43" s="3"/>
    </row>
    <row r="44" spans="1:7" s="44" customFormat="1" x14ac:dyDescent="0.3">
      <c r="A44" s="46"/>
      <c r="B44" s="46"/>
      <c r="C44" s="137" t="str">
        <f t="shared" si="3"/>
        <v/>
      </c>
      <c r="D44" s="47"/>
      <c r="E44" s="199"/>
      <c r="F44" s="200"/>
      <c r="G44" s="3"/>
    </row>
    <row r="45" spans="1:7" s="44" customFormat="1" x14ac:dyDescent="0.3">
      <c r="A45" s="46"/>
      <c r="B45" s="46"/>
      <c r="C45" s="137" t="str">
        <f t="shared" si="3"/>
        <v/>
      </c>
      <c r="D45" s="47"/>
      <c r="E45" s="199"/>
      <c r="F45" s="200"/>
      <c r="G45" s="3"/>
    </row>
    <row r="46" spans="1:7" s="44" customFormat="1" x14ac:dyDescent="0.3">
      <c r="A46" s="46"/>
      <c r="B46" s="46"/>
      <c r="C46" s="137" t="str">
        <f t="shared" si="3"/>
        <v/>
      </c>
      <c r="D46" s="47"/>
      <c r="E46" s="199"/>
      <c r="F46" s="200"/>
      <c r="G46" s="3"/>
    </row>
    <row r="47" spans="1:7" s="44" customFormat="1" ht="15" thickBot="1" x14ac:dyDescent="0.35">
      <c r="A47" s="48"/>
      <c r="B47" s="48"/>
      <c r="C47" s="138" t="str">
        <f t="shared" si="3"/>
        <v/>
      </c>
      <c r="D47" s="49"/>
      <c r="E47" s="203"/>
      <c r="F47" s="204"/>
      <c r="G47" s="3"/>
    </row>
    <row r="48" spans="1:7" s="44" customFormat="1" ht="15" thickBot="1" x14ac:dyDescent="0.35">
      <c r="A48" s="145" t="s">
        <v>28</v>
      </c>
      <c r="B48" s="68">
        <f>SUM(B40:B47)</f>
        <v>38</v>
      </c>
      <c r="C48" s="145" t="str">
        <f xml:space="preserve"> setValueToTime(B48)</f>
        <v>3h10min</v>
      </c>
      <c r="D48" s="105"/>
      <c r="E48" s="205"/>
      <c r="F48" s="206"/>
      <c r="G48" s="3"/>
    </row>
    <row r="49" spans="1:7" s="44" customFormat="1" ht="15" thickBot="1" x14ac:dyDescent="0.35">
      <c r="A49" s="62"/>
      <c r="B49" s="62"/>
      <c r="C49" s="62"/>
      <c r="D49" s="62"/>
      <c r="E49" s="62"/>
      <c r="F49" s="62"/>
      <c r="G49" s="3"/>
    </row>
    <row r="50" spans="1:7" s="40" customFormat="1" ht="30" customHeight="1" thickBot="1" x14ac:dyDescent="0.3">
      <c r="A50" s="139" t="s">
        <v>11</v>
      </c>
      <c r="B50" s="147">
        <v>20</v>
      </c>
      <c r="C50" s="147"/>
      <c r="D50" s="140" t="s">
        <v>14</v>
      </c>
      <c r="E50" s="141">
        <v>45441</v>
      </c>
      <c r="F50" s="142" t="s">
        <v>56</v>
      </c>
      <c r="G50" s="39"/>
    </row>
    <row r="51" spans="1:7" s="40" customFormat="1" ht="30" customHeight="1" thickBot="1" x14ac:dyDescent="0.3">
      <c r="A51" s="63" t="s">
        <v>5</v>
      </c>
      <c r="B51" s="144" t="s">
        <v>40</v>
      </c>
      <c r="C51" s="143"/>
      <c r="D51" s="63" t="s">
        <v>12</v>
      </c>
      <c r="E51" s="207" t="s">
        <v>13</v>
      </c>
      <c r="F51" s="208"/>
      <c r="G51" s="39"/>
    </row>
    <row r="52" spans="1:7" s="44" customFormat="1" x14ac:dyDescent="0.3">
      <c r="A52" s="41" t="s">
        <v>42</v>
      </c>
      <c r="B52" s="42">
        <v>6</v>
      </c>
      <c r="C52" s="135" t="str">
        <f xml:space="preserve"> IF(B52="","",setValueToTime(B52))</f>
        <v>0h30min</v>
      </c>
      <c r="D52" s="43" t="s">
        <v>130</v>
      </c>
      <c r="E52" s="197"/>
      <c r="F52" s="198"/>
      <c r="G52" s="3"/>
    </row>
    <row r="53" spans="1:7" s="44" customFormat="1" ht="81" x14ac:dyDescent="0.3">
      <c r="A53" s="45" t="s">
        <v>71</v>
      </c>
      <c r="B53" s="46">
        <v>31</v>
      </c>
      <c r="C53" s="136" t="str">
        <f t="shared" ref="C53:C59" si="4" xml:space="preserve"> IF(B53="","",setValueToTime(B53))</f>
        <v>2h35min</v>
      </c>
      <c r="D53" s="47" t="s">
        <v>135</v>
      </c>
      <c r="E53" s="199"/>
      <c r="F53" s="200"/>
      <c r="G53" s="3"/>
    </row>
    <row r="54" spans="1:7" s="44" customFormat="1" ht="27" x14ac:dyDescent="0.3">
      <c r="A54" s="45" t="s">
        <v>16</v>
      </c>
      <c r="B54" s="46">
        <v>1</v>
      </c>
      <c r="C54" s="136" t="str">
        <f t="shared" si="4"/>
        <v>0h5min</v>
      </c>
      <c r="D54" s="47" t="s">
        <v>57</v>
      </c>
      <c r="E54" s="199"/>
      <c r="F54" s="200"/>
      <c r="G54" s="3"/>
    </row>
    <row r="55" spans="1:7" s="44" customFormat="1" x14ac:dyDescent="0.3">
      <c r="A55" s="45"/>
      <c r="B55" s="46"/>
      <c r="C55" s="136" t="str">
        <f t="shared" si="4"/>
        <v/>
      </c>
      <c r="D55" s="47"/>
      <c r="E55" s="199"/>
      <c r="F55" s="200"/>
      <c r="G55" s="3"/>
    </row>
    <row r="56" spans="1:7" s="44" customFormat="1" x14ac:dyDescent="0.3">
      <c r="A56" s="46"/>
      <c r="B56" s="46"/>
      <c r="C56" s="137" t="str">
        <f t="shared" si="4"/>
        <v/>
      </c>
      <c r="D56" s="47"/>
      <c r="E56" s="199"/>
      <c r="F56" s="200"/>
      <c r="G56" s="3"/>
    </row>
    <row r="57" spans="1:7" s="44" customFormat="1" x14ac:dyDescent="0.3">
      <c r="A57" s="46"/>
      <c r="B57" s="46"/>
      <c r="C57" s="137" t="str">
        <f t="shared" si="4"/>
        <v/>
      </c>
      <c r="D57" s="47"/>
      <c r="E57" s="199"/>
      <c r="F57" s="200"/>
      <c r="G57" s="3"/>
    </row>
    <row r="58" spans="1:7" s="44" customFormat="1" x14ac:dyDescent="0.3">
      <c r="A58" s="46"/>
      <c r="B58" s="46"/>
      <c r="C58" s="137" t="str">
        <f t="shared" si="4"/>
        <v/>
      </c>
      <c r="D58" s="47"/>
      <c r="E58" s="199"/>
      <c r="F58" s="200"/>
      <c r="G58" s="3"/>
    </row>
    <row r="59" spans="1:7" s="44" customFormat="1" ht="15" thickBot="1" x14ac:dyDescent="0.35">
      <c r="A59" s="48"/>
      <c r="B59" s="48"/>
      <c r="C59" s="138" t="str">
        <f t="shared" si="4"/>
        <v/>
      </c>
      <c r="D59" s="49"/>
      <c r="E59" s="203"/>
      <c r="F59" s="204"/>
      <c r="G59" s="3"/>
    </row>
    <row r="60" spans="1:7" s="44" customFormat="1" ht="15" thickBot="1" x14ac:dyDescent="0.35">
      <c r="A60" s="145" t="s">
        <v>28</v>
      </c>
      <c r="B60" s="68">
        <f>SUM(B52:B59)</f>
        <v>38</v>
      </c>
      <c r="C60" s="145" t="str">
        <f xml:space="preserve"> setValueToTime(B60)</f>
        <v>3h10min</v>
      </c>
      <c r="D60" s="105"/>
      <c r="E60" s="205"/>
      <c r="F60" s="206"/>
      <c r="G60" s="3"/>
    </row>
    <row r="61" spans="1:7" s="44" customFormat="1" ht="15" thickBot="1" x14ac:dyDescent="0.35">
      <c r="A61" s="62"/>
      <c r="B61" s="62"/>
      <c r="C61" s="62"/>
      <c r="D61" s="62"/>
      <c r="E61" s="62"/>
      <c r="F61" s="62"/>
      <c r="G61" s="3"/>
    </row>
    <row r="62" spans="1:7" s="40" customFormat="1" ht="30" customHeight="1" thickBot="1" x14ac:dyDescent="0.3">
      <c r="A62" s="139" t="s">
        <v>11</v>
      </c>
      <c r="B62" s="147">
        <v>19</v>
      </c>
      <c r="C62" s="147"/>
      <c r="D62" s="140" t="s">
        <v>14</v>
      </c>
      <c r="E62" s="141">
        <v>45436</v>
      </c>
      <c r="F62" s="142" t="s">
        <v>53</v>
      </c>
      <c r="G62" s="39"/>
    </row>
    <row r="63" spans="1:7" s="40" customFormat="1" ht="30" customHeight="1" thickBot="1" x14ac:dyDescent="0.3">
      <c r="A63" s="63" t="s">
        <v>5</v>
      </c>
      <c r="B63" s="144" t="s">
        <v>40</v>
      </c>
      <c r="C63" s="143"/>
      <c r="D63" s="63" t="s">
        <v>12</v>
      </c>
      <c r="E63" s="207" t="s">
        <v>13</v>
      </c>
      <c r="F63" s="208"/>
      <c r="G63" s="39"/>
    </row>
    <row r="64" spans="1:7" s="44" customFormat="1" ht="40.5" x14ac:dyDescent="0.3">
      <c r="A64" s="41" t="s">
        <v>70</v>
      </c>
      <c r="B64" s="42">
        <v>25</v>
      </c>
      <c r="C64" s="135" t="str">
        <f xml:space="preserve"> IF(B64="","",setValueToTime(B64))</f>
        <v>2h5min</v>
      </c>
      <c r="D64" s="43" t="s">
        <v>129</v>
      </c>
      <c r="E64" s="197"/>
      <c r="F64" s="198"/>
      <c r="G64" s="3"/>
    </row>
    <row r="65" spans="1:7" s="44" customFormat="1" x14ac:dyDescent="0.3">
      <c r="A65" s="45" t="s">
        <v>15</v>
      </c>
      <c r="B65" s="46">
        <v>12</v>
      </c>
      <c r="C65" s="136" t="str">
        <f t="shared" ref="C65:C71" si="5" xml:space="preserve"> IF(B65="","",setValueToTime(B65))</f>
        <v>1h</v>
      </c>
      <c r="D65" s="47" t="s">
        <v>128</v>
      </c>
      <c r="E65" s="199"/>
      <c r="F65" s="200"/>
      <c r="G65" s="3"/>
    </row>
    <row r="66" spans="1:7" s="44" customFormat="1" ht="27" x14ac:dyDescent="0.3">
      <c r="A66" s="45" t="s">
        <v>16</v>
      </c>
      <c r="B66" s="46">
        <v>1</v>
      </c>
      <c r="C66" s="136" t="str">
        <f t="shared" si="5"/>
        <v>0h5min</v>
      </c>
      <c r="D66" s="47" t="s">
        <v>60</v>
      </c>
      <c r="E66" s="199"/>
      <c r="F66" s="200"/>
      <c r="G66" s="3"/>
    </row>
    <row r="67" spans="1:7" s="44" customFormat="1" x14ac:dyDescent="0.3">
      <c r="A67" s="45"/>
      <c r="B67" s="46"/>
      <c r="C67" s="136" t="str">
        <f t="shared" si="5"/>
        <v/>
      </c>
      <c r="D67" s="47"/>
      <c r="E67" s="199"/>
      <c r="F67" s="200"/>
      <c r="G67" s="3"/>
    </row>
    <row r="68" spans="1:7" s="44" customFormat="1" x14ac:dyDescent="0.3">
      <c r="A68" s="46"/>
      <c r="B68" s="46"/>
      <c r="C68" s="137" t="str">
        <f t="shared" si="5"/>
        <v/>
      </c>
      <c r="D68" s="47"/>
      <c r="E68" s="199"/>
      <c r="F68" s="200"/>
      <c r="G68" s="3"/>
    </row>
    <row r="69" spans="1:7" s="44" customFormat="1" x14ac:dyDescent="0.3">
      <c r="A69" s="46"/>
      <c r="B69" s="46"/>
      <c r="C69" s="137" t="str">
        <f t="shared" si="5"/>
        <v/>
      </c>
      <c r="D69" s="47"/>
      <c r="E69" s="199"/>
      <c r="F69" s="200"/>
      <c r="G69" s="3"/>
    </row>
    <row r="70" spans="1:7" s="44" customFormat="1" x14ac:dyDescent="0.3">
      <c r="A70" s="46"/>
      <c r="B70" s="46"/>
      <c r="C70" s="137" t="str">
        <f t="shared" si="5"/>
        <v/>
      </c>
      <c r="D70" s="47"/>
      <c r="E70" s="199"/>
      <c r="F70" s="200"/>
      <c r="G70" s="3"/>
    </row>
    <row r="71" spans="1:7" s="44" customFormat="1" ht="15" thickBot="1" x14ac:dyDescent="0.35">
      <c r="A71" s="48"/>
      <c r="B71" s="48"/>
      <c r="C71" s="138" t="str">
        <f t="shared" si="5"/>
        <v/>
      </c>
      <c r="D71" s="49"/>
      <c r="E71" s="203"/>
      <c r="F71" s="204"/>
      <c r="G71" s="3"/>
    </row>
    <row r="72" spans="1:7" s="44" customFormat="1" ht="15" thickBot="1" x14ac:dyDescent="0.35">
      <c r="A72" s="145" t="s">
        <v>28</v>
      </c>
      <c r="B72" s="68">
        <f>SUM(B64:B71)</f>
        <v>38</v>
      </c>
      <c r="C72" s="145" t="str">
        <f xml:space="preserve"> setValueToTime(B72)</f>
        <v>3h10min</v>
      </c>
      <c r="D72" s="105"/>
      <c r="E72" s="205"/>
      <c r="F72" s="206"/>
      <c r="G72" s="3"/>
    </row>
    <row r="73" spans="1:7" s="44" customFormat="1" ht="15" thickBot="1" x14ac:dyDescent="0.35">
      <c r="A73" s="62"/>
      <c r="B73" s="62"/>
      <c r="C73" s="62"/>
      <c r="D73" s="62"/>
      <c r="E73" s="62"/>
      <c r="F73" s="62"/>
      <c r="G73" s="3"/>
    </row>
    <row r="74" spans="1:7" s="40" customFormat="1" ht="30" customHeight="1" thickBot="1" x14ac:dyDescent="0.3">
      <c r="A74" s="139" t="s">
        <v>11</v>
      </c>
      <c r="B74" s="147">
        <v>18</v>
      </c>
      <c r="C74" s="147"/>
      <c r="D74" s="140" t="s">
        <v>14</v>
      </c>
      <c r="E74" s="141">
        <v>45436</v>
      </c>
      <c r="F74" s="142" t="s">
        <v>56</v>
      </c>
      <c r="G74" s="39"/>
    </row>
    <row r="75" spans="1:7" s="40" customFormat="1" ht="30" customHeight="1" thickBot="1" x14ac:dyDescent="0.3">
      <c r="A75" s="63" t="s">
        <v>5</v>
      </c>
      <c r="B75" s="144" t="s">
        <v>40</v>
      </c>
      <c r="C75" s="143"/>
      <c r="D75" s="63" t="s">
        <v>12</v>
      </c>
      <c r="E75" s="207" t="s">
        <v>13</v>
      </c>
      <c r="F75" s="208"/>
      <c r="G75" s="39"/>
    </row>
    <row r="76" spans="1:7" s="44" customFormat="1" ht="40.5" x14ac:dyDescent="0.3">
      <c r="A76" s="41" t="s">
        <v>70</v>
      </c>
      <c r="B76" s="42">
        <v>47</v>
      </c>
      <c r="C76" s="135" t="str">
        <f xml:space="preserve"> IF(B76="","",setValueToTime(B76))</f>
        <v>3h55min</v>
      </c>
      <c r="D76" s="43" t="s">
        <v>127</v>
      </c>
      <c r="E76" s="197"/>
      <c r="F76" s="198"/>
      <c r="G76" s="3"/>
    </row>
    <row r="77" spans="1:7" s="44" customFormat="1" ht="27" x14ac:dyDescent="0.3">
      <c r="A77" s="45" t="s">
        <v>16</v>
      </c>
      <c r="B77" s="46">
        <v>1</v>
      </c>
      <c r="C77" s="136" t="str">
        <f t="shared" ref="C77:C83" si="6" xml:space="preserve"> IF(B77="","",setValueToTime(B77))</f>
        <v>0h5min</v>
      </c>
      <c r="D77" s="47" t="s">
        <v>60</v>
      </c>
      <c r="E77" s="199"/>
      <c r="F77" s="200"/>
      <c r="G77" s="3"/>
    </row>
    <row r="78" spans="1:7" s="44" customFormat="1" x14ac:dyDescent="0.3">
      <c r="A78" s="45"/>
      <c r="B78" s="46"/>
      <c r="C78" s="136" t="str">
        <f t="shared" si="6"/>
        <v/>
      </c>
      <c r="D78" s="47"/>
      <c r="E78" s="199"/>
      <c r="F78" s="200"/>
      <c r="G78" s="3"/>
    </row>
    <row r="79" spans="1:7" s="44" customFormat="1" x14ac:dyDescent="0.3">
      <c r="A79" s="45"/>
      <c r="B79" s="46"/>
      <c r="C79" s="136" t="str">
        <f t="shared" si="6"/>
        <v/>
      </c>
      <c r="D79" s="47"/>
      <c r="E79" s="199"/>
      <c r="F79" s="200"/>
      <c r="G79" s="3"/>
    </row>
    <row r="80" spans="1:7" s="44" customFormat="1" x14ac:dyDescent="0.3">
      <c r="A80" s="46"/>
      <c r="B80" s="46"/>
      <c r="C80" s="137" t="str">
        <f t="shared" si="6"/>
        <v/>
      </c>
      <c r="D80" s="47"/>
      <c r="E80" s="199"/>
      <c r="F80" s="200"/>
      <c r="G80" s="3"/>
    </row>
    <row r="81" spans="1:7" s="44" customFormat="1" x14ac:dyDescent="0.3">
      <c r="A81" s="46"/>
      <c r="B81" s="46"/>
      <c r="C81" s="137" t="str">
        <f t="shared" si="6"/>
        <v/>
      </c>
      <c r="D81" s="47"/>
      <c r="E81" s="199"/>
      <c r="F81" s="200"/>
      <c r="G81" s="3"/>
    </row>
    <row r="82" spans="1:7" s="44" customFormat="1" x14ac:dyDescent="0.3">
      <c r="A82" s="46"/>
      <c r="B82" s="46"/>
      <c r="C82" s="137" t="str">
        <f t="shared" si="6"/>
        <v/>
      </c>
      <c r="D82" s="47"/>
      <c r="E82" s="199"/>
      <c r="F82" s="200"/>
      <c r="G82" s="3"/>
    </row>
    <row r="83" spans="1:7" s="44" customFormat="1" ht="15" thickBot="1" x14ac:dyDescent="0.35">
      <c r="A83" s="48"/>
      <c r="B83" s="48"/>
      <c r="C83" s="138" t="str">
        <f t="shared" si="6"/>
        <v/>
      </c>
      <c r="D83" s="49"/>
      <c r="E83" s="203"/>
      <c r="F83" s="204"/>
      <c r="G83" s="3"/>
    </row>
    <row r="84" spans="1:7" s="44" customFormat="1" ht="15" thickBot="1" x14ac:dyDescent="0.35">
      <c r="A84" s="145" t="s">
        <v>28</v>
      </c>
      <c r="B84" s="68">
        <f>SUM(B76:B83)</f>
        <v>48</v>
      </c>
      <c r="C84" s="145" t="str">
        <f xml:space="preserve"> setValueToTime(B84)</f>
        <v>4h</v>
      </c>
      <c r="D84" s="105"/>
      <c r="E84" s="205"/>
      <c r="F84" s="206"/>
      <c r="G84" s="3"/>
    </row>
    <row r="85" spans="1:7" s="44" customFormat="1" ht="15" thickBot="1" x14ac:dyDescent="0.35">
      <c r="A85" s="62"/>
      <c r="B85" s="62"/>
      <c r="C85" s="62"/>
      <c r="D85" s="62"/>
      <c r="E85" s="62"/>
      <c r="F85" s="62"/>
      <c r="G85" s="3"/>
    </row>
    <row r="86" spans="1:7" s="40" customFormat="1" ht="30" customHeight="1" thickBot="1" x14ac:dyDescent="0.3">
      <c r="A86" s="139" t="s">
        <v>11</v>
      </c>
      <c r="B86" s="147">
        <v>17</v>
      </c>
      <c r="C86" s="147"/>
      <c r="D86" s="140" t="s">
        <v>14</v>
      </c>
      <c r="E86" s="141">
        <v>45435</v>
      </c>
      <c r="F86" s="142" t="s">
        <v>53</v>
      </c>
      <c r="G86" s="39"/>
    </row>
    <row r="87" spans="1:7" s="40" customFormat="1" ht="30" customHeight="1" thickBot="1" x14ac:dyDescent="0.3">
      <c r="A87" s="63" t="s">
        <v>5</v>
      </c>
      <c r="B87" s="144" t="s">
        <v>40</v>
      </c>
      <c r="C87" s="143"/>
      <c r="D87" s="63" t="s">
        <v>12</v>
      </c>
      <c r="E87" s="207" t="s">
        <v>13</v>
      </c>
      <c r="F87" s="208"/>
      <c r="G87" s="39"/>
    </row>
    <row r="88" spans="1:7" s="44" customFormat="1" ht="40.5" x14ac:dyDescent="0.3">
      <c r="A88" s="41" t="s">
        <v>70</v>
      </c>
      <c r="B88" s="42">
        <v>37</v>
      </c>
      <c r="C88" s="135" t="str">
        <f xml:space="preserve"> IF(B88="","",setValueToTime(B88))</f>
        <v>3h5min</v>
      </c>
      <c r="D88" s="43" t="s">
        <v>133</v>
      </c>
      <c r="E88" s="197"/>
      <c r="F88" s="198"/>
      <c r="G88" s="3"/>
    </row>
    <row r="89" spans="1:7" s="44" customFormat="1" ht="27" x14ac:dyDescent="0.3">
      <c r="A89" s="45" t="s">
        <v>16</v>
      </c>
      <c r="B89" s="46">
        <v>1</v>
      </c>
      <c r="C89" s="136" t="str">
        <f t="shared" ref="C89:C95" si="7" xml:space="preserve"> IF(B89="","",setValueToTime(B89))</f>
        <v>0h5min</v>
      </c>
      <c r="D89" s="47" t="s">
        <v>60</v>
      </c>
      <c r="E89" s="199"/>
      <c r="F89" s="200"/>
      <c r="G89" s="3"/>
    </row>
    <row r="90" spans="1:7" s="44" customFormat="1" x14ac:dyDescent="0.3">
      <c r="A90" s="45"/>
      <c r="B90" s="46"/>
      <c r="C90" s="136" t="str">
        <f t="shared" si="7"/>
        <v/>
      </c>
      <c r="D90" s="47"/>
      <c r="E90" s="199"/>
      <c r="F90" s="200"/>
      <c r="G90" s="3"/>
    </row>
    <row r="91" spans="1:7" s="44" customFormat="1" x14ac:dyDescent="0.3">
      <c r="A91" s="45"/>
      <c r="B91" s="46"/>
      <c r="C91" s="136" t="str">
        <f t="shared" si="7"/>
        <v/>
      </c>
      <c r="D91" s="47"/>
      <c r="E91" s="199"/>
      <c r="F91" s="200"/>
      <c r="G91" s="3"/>
    </row>
    <row r="92" spans="1:7" s="44" customFormat="1" x14ac:dyDescent="0.3">
      <c r="A92" s="46"/>
      <c r="B92" s="46"/>
      <c r="C92" s="137" t="str">
        <f t="shared" si="7"/>
        <v/>
      </c>
      <c r="D92" s="47"/>
      <c r="E92" s="199"/>
      <c r="F92" s="200"/>
      <c r="G92" s="3"/>
    </row>
    <row r="93" spans="1:7" s="44" customFormat="1" x14ac:dyDescent="0.3">
      <c r="A93" s="46"/>
      <c r="B93" s="46"/>
      <c r="C93" s="137" t="str">
        <f t="shared" si="7"/>
        <v/>
      </c>
      <c r="D93" s="47"/>
      <c r="E93" s="199"/>
      <c r="F93" s="200"/>
      <c r="G93" s="3"/>
    </row>
    <row r="94" spans="1:7" s="44" customFormat="1" x14ac:dyDescent="0.3">
      <c r="A94" s="46"/>
      <c r="B94" s="46"/>
      <c r="C94" s="137" t="str">
        <f t="shared" si="7"/>
        <v/>
      </c>
      <c r="D94" s="47"/>
      <c r="E94" s="199"/>
      <c r="F94" s="200"/>
      <c r="G94" s="3"/>
    </row>
    <row r="95" spans="1:7" s="44" customFormat="1" ht="15" thickBot="1" x14ac:dyDescent="0.35">
      <c r="A95" s="48"/>
      <c r="B95" s="48"/>
      <c r="C95" s="138" t="str">
        <f t="shared" si="7"/>
        <v/>
      </c>
      <c r="D95" s="49"/>
      <c r="E95" s="203"/>
      <c r="F95" s="204"/>
      <c r="G95" s="3"/>
    </row>
    <row r="96" spans="1:7" s="44" customFormat="1" ht="15" thickBot="1" x14ac:dyDescent="0.35">
      <c r="A96" s="145" t="s">
        <v>28</v>
      </c>
      <c r="B96" s="68">
        <f>SUM(B88:B95)</f>
        <v>38</v>
      </c>
      <c r="C96" s="145" t="str">
        <f xml:space="preserve"> setValueToTime(B96)</f>
        <v>3h10min</v>
      </c>
      <c r="D96" s="105"/>
      <c r="E96" s="205"/>
      <c r="F96" s="206"/>
      <c r="G96" s="3"/>
    </row>
    <row r="97" spans="1:7" s="44" customFormat="1" ht="15" thickBot="1" x14ac:dyDescent="0.35">
      <c r="A97" s="62"/>
      <c r="B97" s="62"/>
      <c r="C97" s="62"/>
      <c r="D97" s="62"/>
      <c r="E97" s="62"/>
      <c r="F97" s="62"/>
      <c r="G97" s="3"/>
    </row>
    <row r="98" spans="1:7" s="40" customFormat="1" ht="30" customHeight="1" thickBot="1" x14ac:dyDescent="0.3">
      <c r="A98" s="139" t="s">
        <v>11</v>
      </c>
      <c r="B98" s="147">
        <v>16</v>
      </c>
      <c r="C98" s="147"/>
      <c r="D98" s="140" t="s">
        <v>14</v>
      </c>
      <c r="E98" s="141">
        <v>45434</v>
      </c>
      <c r="F98" s="142" t="s">
        <v>53</v>
      </c>
      <c r="G98" s="39"/>
    </row>
    <row r="99" spans="1:7" s="40" customFormat="1" ht="30" customHeight="1" thickBot="1" x14ac:dyDescent="0.3">
      <c r="A99" s="63" t="s">
        <v>5</v>
      </c>
      <c r="B99" s="144" t="s">
        <v>40</v>
      </c>
      <c r="C99" s="143"/>
      <c r="D99" s="63" t="s">
        <v>12</v>
      </c>
      <c r="E99" s="207" t="s">
        <v>13</v>
      </c>
      <c r="F99" s="208"/>
      <c r="G99" s="39"/>
    </row>
    <row r="100" spans="1:7" s="44" customFormat="1" ht="40.5" x14ac:dyDescent="0.3">
      <c r="A100" s="41" t="s">
        <v>70</v>
      </c>
      <c r="B100" s="42">
        <v>31</v>
      </c>
      <c r="C100" s="135" t="str">
        <f xml:space="preserve"> IF(B100="","",setValueToTime(B100))</f>
        <v>2h35min</v>
      </c>
      <c r="D100" s="43" t="s">
        <v>126</v>
      </c>
      <c r="E100" s="197"/>
      <c r="F100" s="198"/>
      <c r="G100" s="3"/>
    </row>
    <row r="101" spans="1:7" s="44" customFormat="1" x14ac:dyDescent="0.3">
      <c r="A101" s="45" t="s">
        <v>15</v>
      </c>
      <c r="B101" s="46">
        <v>6</v>
      </c>
      <c r="C101" s="136" t="str">
        <f t="shared" ref="C101:C107" si="8" xml:space="preserve"> IF(B101="","",setValueToTime(B101))</f>
        <v>0h30min</v>
      </c>
      <c r="D101" s="47" t="s">
        <v>58</v>
      </c>
      <c r="E101" s="199"/>
      <c r="F101" s="200"/>
      <c r="G101" s="3"/>
    </row>
    <row r="102" spans="1:7" s="44" customFormat="1" ht="27" x14ac:dyDescent="0.3">
      <c r="A102" s="45" t="s">
        <v>16</v>
      </c>
      <c r="B102" s="46">
        <v>1</v>
      </c>
      <c r="C102" s="136" t="str">
        <f t="shared" si="8"/>
        <v>0h5min</v>
      </c>
      <c r="D102" s="47" t="s">
        <v>60</v>
      </c>
      <c r="E102" s="199"/>
      <c r="F102" s="200"/>
      <c r="G102" s="3"/>
    </row>
    <row r="103" spans="1:7" s="44" customFormat="1" x14ac:dyDescent="0.3">
      <c r="A103" s="45"/>
      <c r="B103" s="46"/>
      <c r="C103" s="136" t="str">
        <f t="shared" si="8"/>
        <v/>
      </c>
      <c r="D103" s="47"/>
      <c r="E103" s="199"/>
      <c r="F103" s="200"/>
      <c r="G103" s="3"/>
    </row>
    <row r="104" spans="1:7" s="44" customFormat="1" x14ac:dyDescent="0.3">
      <c r="A104" s="46"/>
      <c r="B104" s="46"/>
      <c r="C104" s="137" t="str">
        <f t="shared" si="8"/>
        <v/>
      </c>
      <c r="D104" s="47"/>
      <c r="E104" s="199"/>
      <c r="F104" s="200"/>
      <c r="G104" s="3"/>
    </row>
    <row r="105" spans="1:7" s="44" customFormat="1" x14ac:dyDescent="0.3">
      <c r="A105" s="46"/>
      <c r="B105" s="46"/>
      <c r="C105" s="137" t="str">
        <f t="shared" si="8"/>
        <v/>
      </c>
      <c r="D105" s="47"/>
      <c r="E105" s="199"/>
      <c r="F105" s="200"/>
      <c r="G105" s="3"/>
    </row>
    <row r="106" spans="1:7" s="44" customFormat="1" x14ac:dyDescent="0.3">
      <c r="A106" s="46"/>
      <c r="B106" s="46"/>
      <c r="C106" s="137" t="str">
        <f t="shared" si="8"/>
        <v/>
      </c>
      <c r="D106" s="47"/>
      <c r="E106" s="199"/>
      <c r="F106" s="200"/>
      <c r="G106" s="3"/>
    </row>
    <row r="107" spans="1:7" s="44" customFormat="1" ht="15" thickBot="1" x14ac:dyDescent="0.35">
      <c r="A107" s="48"/>
      <c r="B107" s="48"/>
      <c r="C107" s="138" t="str">
        <f t="shared" si="8"/>
        <v/>
      </c>
      <c r="D107" s="49"/>
      <c r="E107" s="203"/>
      <c r="F107" s="204"/>
      <c r="G107" s="3"/>
    </row>
    <row r="108" spans="1:7" s="44" customFormat="1" ht="15" thickBot="1" x14ac:dyDescent="0.35">
      <c r="A108" s="145" t="s">
        <v>28</v>
      </c>
      <c r="B108" s="68">
        <f>SUM(B100:B107)</f>
        <v>38</v>
      </c>
      <c r="C108" s="145" t="str">
        <f xml:space="preserve"> setValueToTime(B108)</f>
        <v>3h10min</v>
      </c>
      <c r="D108" s="105"/>
      <c r="E108" s="205"/>
      <c r="F108" s="206"/>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15</v>
      </c>
      <c r="C110" s="147"/>
      <c r="D110" s="140" t="s">
        <v>14</v>
      </c>
      <c r="E110" s="141">
        <v>45434</v>
      </c>
      <c r="F110" s="142" t="s">
        <v>56</v>
      </c>
      <c r="G110" s="39"/>
    </row>
    <row r="111" spans="1:7" s="40" customFormat="1" ht="30" customHeight="1" thickBot="1" x14ac:dyDescent="0.3">
      <c r="A111" s="63" t="s">
        <v>5</v>
      </c>
      <c r="B111" s="144" t="s">
        <v>40</v>
      </c>
      <c r="C111" s="143"/>
      <c r="D111" s="63" t="s">
        <v>12</v>
      </c>
      <c r="E111" s="207" t="s">
        <v>13</v>
      </c>
      <c r="F111" s="208"/>
      <c r="G111" s="39"/>
    </row>
    <row r="112" spans="1:7" s="44" customFormat="1" ht="40.5" x14ac:dyDescent="0.3">
      <c r="A112" s="41" t="s">
        <v>70</v>
      </c>
      <c r="B112" s="42">
        <v>25</v>
      </c>
      <c r="C112" s="135" t="str">
        <f xml:space="preserve"> IF(B112="","",setValueToTime(B112))</f>
        <v>2h5min</v>
      </c>
      <c r="D112" s="43" t="s">
        <v>124</v>
      </c>
      <c r="E112" s="197"/>
      <c r="F112" s="198"/>
      <c r="G112" s="3"/>
    </row>
    <row r="113" spans="1:7" s="44" customFormat="1" ht="40.5" x14ac:dyDescent="0.3">
      <c r="A113" s="45" t="s">
        <v>71</v>
      </c>
      <c r="B113" s="46">
        <v>6</v>
      </c>
      <c r="C113" s="136" t="str">
        <f t="shared" ref="C113:C119" si="9" xml:space="preserve"> IF(B113="","",setValueToTime(B113))</f>
        <v>0h30min</v>
      </c>
      <c r="D113" s="47" t="s">
        <v>125</v>
      </c>
      <c r="E113" s="199"/>
      <c r="F113" s="200"/>
      <c r="G113" s="3"/>
    </row>
    <row r="114" spans="1:7" s="44" customFormat="1" x14ac:dyDescent="0.3">
      <c r="A114" s="45" t="s">
        <v>15</v>
      </c>
      <c r="B114" s="46">
        <v>6</v>
      </c>
      <c r="C114" s="136" t="str">
        <f t="shared" si="9"/>
        <v>0h30min</v>
      </c>
      <c r="D114" s="47" t="s">
        <v>58</v>
      </c>
      <c r="E114" s="199"/>
      <c r="F114" s="200"/>
      <c r="G114" s="3"/>
    </row>
    <row r="115" spans="1:7" s="44" customFormat="1" ht="27" x14ac:dyDescent="0.3">
      <c r="A115" s="45" t="s">
        <v>16</v>
      </c>
      <c r="B115" s="46">
        <v>1</v>
      </c>
      <c r="C115" s="136" t="str">
        <f t="shared" si="9"/>
        <v>0h5min</v>
      </c>
      <c r="D115" s="47" t="s">
        <v>60</v>
      </c>
      <c r="E115" s="199"/>
      <c r="F115" s="200"/>
      <c r="G115" s="3"/>
    </row>
    <row r="116" spans="1:7" s="44" customFormat="1" x14ac:dyDescent="0.3">
      <c r="A116" s="46"/>
      <c r="B116" s="46"/>
      <c r="C116" s="137" t="str">
        <f t="shared" si="9"/>
        <v/>
      </c>
      <c r="D116" s="47"/>
      <c r="E116" s="199"/>
      <c r="F116" s="200"/>
      <c r="G116" s="3"/>
    </row>
    <row r="117" spans="1:7" s="44" customFormat="1" x14ac:dyDescent="0.3">
      <c r="A117" s="46"/>
      <c r="B117" s="46"/>
      <c r="C117" s="137" t="str">
        <f t="shared" si="9"/>
        <v/>
      </c>
      <c r="D117" s="47"/>
      <c r="E117" s="199"/>
      <c r="F117" s="200"/>
      <c r="G117" s="3"/>
    </row>
    <row r="118" spans="1:7" s="44" customFormat="1" x14ac:dyDescent="0.3">
      <c r="A118" s="46"/>
      <c r="B118" s="46"/>
      <c r="C118" s="137" t="str">
        <f t="shared" si="9"/>
        <v/>
      </c>
      <c r="D118" s="47"/>
      <c r="E118" s="199"/>
      <c r="F118" s="200"/>
      <c r="G118" s="3"/>
    </row>
    <row r="119" spans="1:7" s="44" customFormat="1" ht="15" thickBot="1" x14ac:dyDescent="0.35">
      <c r="A119" s="48"/>
      <c r="B119" s="48"/>
      <c r="C119" s="138" t="str">
        <f t="shared" si="9"/>
        <v/>
      </c>
      <c r="D119" s="49"/>
      <c r="E119" s="203"/>
      <c r="F119" s="204"/>
      <c r="G119" s="3"/>
    </row>
    <row r="120" spans="1:7" s="44" customFormat="1" ht="15" thickBot="1" x14ac:dyDescent="0.35">
      <c r="A120" s="145" t="s">
        <v>28</v>
      </c>
      <c r="B120" s="68">
        <f>SUM(B112:B119)</f>
        <v>38</v>
      </c>
      <c r="C120" s="145" t="str">
        <f xml:space="preserve"> setValueToTime(B120)</f>
        <v>3h10min</v>
      </c>
      <c r="D120" s="105"/>
      <c r="E120" s="205"/>
      <c r="F120" s="206"/>
      <c r="G120" s="3"/>
    </row>
    <row r="121" spans="1:7" s="44" customFormat="1" ht="15" thickBot="1" x14ac:dyDescent="0.35">
      <c r="A121" s="62"/>
      <c r="B121" s="62"/>
      <c r="C121" s="62"/>
      <c r="D121" s="62"/>
      <c r="E121" s="62"/>
      <c r="F121" s="62"/>
      <c r="G121" s="3"/>
    </row>
    <row r="122" spans="1:7" s="40" customFormat="1" ht="30" customHeight="1" thickBot="1" x14ac:dyDescent="0.3">
      <c r="A122" s="139" t="s">
        <v>11</v>
      </c>
      <c r="B122" s="147">
        <v>14</v>
      </c>
      <c r="C122" s="147"/>
      <c r="D122" s="140" t="s">
        <v>14</v>
      </c>
      <c r="E122" s="141">
        <v>45429</v>
      </c>
      <c r="F122" s="142" t="s">
        <v>53</v>
      </c>
      <c r="G122" s="39"/>
    </row>
    <row r="123" spans="1:7" s="40" customFormat="1" ht="30" customHeight="1" thickBot="1" x14ac:dyDescent="0.3">
      <c r="A123" s="63" t="s">
        <v>5</v>
      </c>
      <c r="B123" s="144" t="s">
        <v>40</v>
      </c>
      <c r="C123" s="143"/>
      <c r="D123" s="63" t="s">
        <v>12</v>
      </c>
      <c r="E123" s="207" t="s">
        <v>13</v>
      </c>
      <c r="F123" s="208"/>
      <c r="G123" s="39"/>
    </row>
    <row r="124" spans="1:7" s="44" customFormat="1" ht="40.5" x14ac:dyDescent="0.3">
      <c r="A124" s="41" t="s">
        <v>70</v>
      </c>
      <c r="B124" s="42">
        <v>18</v>
      </c>
      <c r="C124" s="135" t="str">
        <f xml:space="preserve"> IF(B124="","",setValueToTime(B124))</f>
        <v>1h30min</v>
      </c>
      <c r="D124" s="43" t="s">
        <v>81</v>
      </c>
      <c r="E124" s="197"/>
      <c r="F124" s="198"/>
      <c r="G124" s="3"/>
    </row>
    <row r="125" spans="1:7" s="44" customFormat="1" x14ac:dyDescent="0.3">
      <c r="A125" s="45" t="s">
        <v>44</v>
      </c>
      <c r="B125" s="46">
        <v>7</v>
      </c>
      <c r="C125" s="136" t="str">
        <f t="shared" ref="C125:C131" si="10" xml:space="preserve"> IF(B125="","",setValueToTime(B125))</f>
        <v>0h35min</v>
      </c>
      <c r="D125" s="47" t="s">
        <v>123</v>
      </c>
      <c r="E125" s="199"/>
      <c r="F125" s="200"/>
      <c r="G125" s="3"/>
    </row>
    <row r="126" spans="1:7" s="44" customFormat="1" x14ac:dyDescent="0.3">
      <c r="A126" s="45" t="s">
        <v>15</v>
      </c>
      <c r="B126" s="46">
        <v>12</v>
      </c>
      <c r="C126" s="136" t="str">
        <f t="shared" si="10"/>
        <v>1h</v>
      </c>
      <c r="D126" s="47" t="s">
        <v>58</v>
      </c>
      <c r="E126" s="199"/>
      <c r="F126" s="200"/>
      <c r="G126" s="3"/>
    </row>
    <row r="127" spans="1:7" s="44" customFormat="1" ht="27" x14ac:dyDescent="0.3">
      <c r="A127" s="45" t="s">
        <v>16</v>
      </c>
      <c r="B127" s="46">
        <v>1</v>
      </c>
      <c r="C127" s="136" t="str">
        <f t="shared" si="10"/>
        <v>0h5min</v>
      </c>
      <c r="D127" s="47" t="s">
        <v>60</v>
      </c>
      <c r="E127" s="199"/>
      <c r="F127" s="200"/>
      <c r="G127" s="3"/>
    </row>
    <row r="128" spans="1:7" s="44" customFormat="1" x14ac:dyDescent="0.3">
      <c r="A128" s="46"/>
      <c r="B128" s="46"/>
      <c r="C128" s="137" t="str">
        <f t="shared" si="10"/>
        <v/>
      </c>
      <c r="D128" s="47"/>
      <c r="E128" s="199"/>
      <c r="F128" s="200"/>
      <c r="G128" s="3"/>
    </row>
    <row r="129" spans="1:7" s="44" customFormat="1" x14ac:dyDescent="0.3">
      <c r="A129" s="46"/>
      <c r="B129" s="46"/>
      <c r="C129" s="137" t="str">
        <f t="shared" si="10"/>
        <v/>
      </c>
      <c r="D129" s="47"/>
      <c r="E129" s="199"/>
      <c r="F129" s="200"/>
      <c r="G129" s="3"/>
    </row>
    <row r="130" spans="1:7" s="44" customFormat="1" x14ac:dyDescent="0.3">
      <c r="A130" s="46"/>
      <c r="B130" s="46"/>
      <c r="C130" s="137" t="str">
        <f t="shared" si="10"/>
        <v/>
      </c>
      <c r="D130" s="47"/>
      <c r="E130" s="199"/>
      <c r="F130" s="200"/>
      <c r="G130" s="3"/>
    </row>
    <row r="131" spans="1:7" s="44" customFormat="1" ht="15" thickBot="1" x14ac:dyDescent="0.35">
      <c r="A131" s="48"/>
      <c r="B131" s="48"/>
      <c r="C131" s="138" t="str">
        <f t="shared" si="10"/>
        <v/>
      </c>
      <c r="D131" s="49"/>
      <c r="E131" s="203"/>
      <c r="F131" s="204"/>
      <c r="G131" s="3"/>
    </row>
    <row r="132" spans="1:7" s="44" customFormat="1" ht="15" thickBot="1" x14ac:dyDescent="0.35">
      <c r="A132" s="145" t="s">
        <v>28</v>
      </c>
      <c r="B132" s="68">
        <f>SUM(B124:B131)</f>
        <v>38</v>
      </c>
      <c r="C132" s="145" t="str">
        <f xml:space="preserve"> setValueToTime(B132)</f>
        <v>3h10min</v>
      </c>
      <c r="D132" s="105"/>
      <c r="E132" s="205"/>
      <c r="F132" s="206"/>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13</v>
      </c>
      <c r="C134" s="147"/>
      <c r="D134" s="140" t="s">
        <v>14</v>
      </c>
      <c r="E134" s="141">
        <v>45429</v>
      </c>
      <c r="F134" s="142" t="s">
        <v>56</v>
      </c>
      <c r="G134" s="39"/>
    </row>
    <row r="135" spans="1:7" s="40" customFormat="1" ht="30" customHeight="1" thickBot="1" x14ac:dyDescent="0.3">
      <c r="A135" s="63" t="s">
        <v>5</v>
      </c>
      <c r="B135" s="144" t="s">
        <v>40</v>
      </c>
      <c r="C135" s="143"/>
      <c r="D135" s="63" t="s">
        <v>12</v>
      </c>
      <c r="E135" s="207" t="s">
        <v>13</v>
      </c>
      <c r="F135" s="208"/>
      <c r="G135" s="39"/>
    </row>
    <row r="136" spans="1:7" s="44" customFormat="1" ht="40.5" x14ac:dyDescent="0.3">
      <c r="A136" s="41" t="s">
        <v>70</v>
      </c>
      <c r="B136" s="42">
        <v>37</v>
      </c>
      <c r="C136" s="135" t="str">
        <f xml:space="preserve"> IF(B136="","",setValueToTime(B136))</f>
        <v>3h5min</v>
      </c>
      <c r="D136" s="43" t="s">
        <v>122</v>
      </c>
      <c r="E136" s="197"/>
      <c r="F136" s="198"/>
      <c r="G136" s="3"/>
    </row>
    <row r="137" spans="1:7" s="44" customFormat="1" ht="27" x14ac:dyDescent="0.3">
      <c r="A137" s="45" t="s">
        <v>16</v>
      </c>
      <c r="B137" s="46">
        <v>1</v>
      </c>
      <c r="C137" s="136" t="str">
        <f t="shared" ref="C137:C143" si="11" xml:space="preserve"> IF(B137="","",setValueToTime(B137))</f>
        <v>0h5min</v>
      </c>
      <c r="D137" s="47" t="s">
        <v>60</v>
      </c>
      <c r="E137" s="199"/>
      <c r="F137" s="200"/>
      <c r="G137" s="3"/>
    </row>
    <row r="138" spans="1:7" s="44" customFormat="1" x14ac:dyDescent="0.3">
      <c r="A138" s="45"/>
      <c r="B138" s="46"/>
      <c r="C138" s="136" t="str">
        <f t="shared" si="11"/>
        <v/>
      </c>
      <c r="D138" s="47"/>
      <c r="E138" s="199"/>
      <c r="F138" s="200"/>
      <c r="G138" s="3"/>
    </row>
    <row r="139" spans="1:7" s="44" customFormat="1" x14ac:dyDescent="0.3">
      <c r="A139" s="45"/>
      <c r="B139" s="46"/>
      <c r="C139" s="136" t="str">
        <f t="shared" si="11"/>
        <v/>
      </c>
      <c r="D139" s="47"/>
      <c r="E139" s="199"/>
      <c r="F139" s="200"/>
      <c r="G139" s="3"/>
    </row>
    <row r="140" spans="1:7" s="44" customFormat="1" x14ac:dyDescent="0.3">
      <c r="A140" s="46"/>
      <c r="B140" s="46"/>
      <c r="C140" s="137" t="str">
        <f t="shared" si="11"/>
        <v/>
      </c>
      <c r="D140" s="47"/>
      <c r="E140" s="199"/>
      <c r="F140" s="200"/>
      <c r="G140" s="3"/>
    </row>
    <row r="141" spans="1:7" s="44" customFormat="1" x14ac:dyDescent="0.3">
      <c r="A141" s="46"/>
      <c r="B141" s="46"/>
      <c r="C141" s="137" t="str">
        <f t="shared" si="11"/>
        <v/>
      </c>
      <c r="D141" s="47"/>
      <c r="E141" s="199"/>
      <c r="F141" s="200"/>
      <c r="G141" s="3"/>
    </row>
    <row r="142" spans="1:7" s="44" customFormat="1" x14ac:dyDescent="0.3">
      <c r="A142" s="46"/>
      <c r="B142" s="46"/>
      <c r="C142" s="137" t="str">
        <f t="shared" si="11"/>
        <v/>
      </c>
      <c r="D142" s="47"/>
      <c r="E142" s="199"/>
      <c r="F142" s="200"/>
      <c r="G142" s="3"/>
    </row>
    <row r="143" spans="1:7" s="44" customFormat="1" ht="15" thickBot="1" x14ac:dyDescent="0.35">
      <c r="A143" s="48"/>
      <c r="B143" s="48"/>
      <c r="C143" s="138" t="str">
        <f t="shared" si="11"/>
        <v/>
      </c>
      <c r="D143" s="49"/>
      <c r="E143" s="203"/>
      <c r="F143" s="204"/>
      <c r="G143" s="3"/>
    </row>
    <row r="144" spans="1:7" s="44" customFormat="1" ht="15" thickBot="1" x14ac:dyDescent="0.35">
      <c r="A144" s="145" t="s">
        <v>28</v>
      </c>
      <c r="B144" s="68">
        <f>SUM(B136:B143)</f>
        <v>38</v>
      </c>
      <c r="C144" s="145" t="str">
        <f xml:space="preserve"> setValueToTime(B144)</f>
        <v>3h10min</v>
      </c>
      <c r="D144" s="105"/>
      <c r="E144" s="205"/>
      <c r="F144" s="206"/>
      <c r="G144" s="3"/>
    </row>
    <row r="145" spans="1:7" s="44" customFormat="1" ht="15" thickBot="1" x14ac:dyDescent="0.35">
      <c r="A145" s="62"/>
      <c r="B145" s="62"/>
      <c r="C145" s="62"/>
      <c r="D145" s="62"/>
      <c r="E145" s="62"/>
      <c r="F145" s="62"/>
      <c r="G145" s="3"/>
    </row>
    <row r="146" spans="1:7" s="40" customFormat="1" ht="30" customHeight="1" thickBot="1" x14ac:dyDescent="0.3">
      <c r="A146" s="139" t="s">
        <v>11</v>
      </c>
      <c r="B146" s="147">
        <v>12</v>
      </c>
      <c r="C146" s="147"/>
      <c r="D146" s="140" t="s">
        <v>14</v>
      </c>
      <c r="E146" s="141">
        <v>45428</v>
      </c>
      <c r="F146" s="142" t="s">
        <v>53</v>
      </c>
      <c r="G146" s="39"/>
    </row>
    <row r="147" spans="1:7" s="40" customFormat="1" ht="30" customHeight="1" thickBot="1" x14ac:dyDescent="0.3">
      <c r="A147" s="63" t="s">
        <v>5</v>
      </c>
      <c r="B147" s="144" t="s">
        <v>40</v>
      </c>
      <c r="C147" s="143"/>
      <c r="D147" s="63" t="s">
        <v>12</v>
      </c>
      <c r="E147" s="207" t="s">
        <v>13</v>
      </c>
      <c r="F147" s="208"/>
      <c r="G147" s="39"/>
    </row>
    <row r="148" spans="1:7" s="44" customFormat="1" ht="40.5" x14ac:dyDescent="0.3">
      <c r="A148" s="41" t="s">
        <v>70</v>
      </c>
      <c r="B148" s="42">
        <v>37</v>
      </c>
      <c r="C148" s="135" t="str">
        <f xml:space="preserve"> IF(B148="","",setValueToTime(B148))</f>
        <v>3h5min</v>
      </c>
      <c r="D148" s="43" t="s">
        <v>121</v>
      </c>
      <c r="E148" s="197"/>
      <c r="F148" s="198"/>
      <c r="G148" s="3"/>
    </row>
    <row r="149" spans="1:7" s="44" customFormat="1" ht="27" x14ac:dyDescent="0.3">
      <c r="A149" s="45" t="s">
        <v>16</v>
      </c>
      <c r="B149" s="46">
        <v>1</v>
      </c>
      <c r="C149" s="136" t="str">
        <f t="shared" ref="C149:C155" si="12" xml:space="preserve"> IF(B149="","",setValueToTime(B149))</f>
        <v>0h5min</v>
      </c>
      <c r="D149" s="47" t="s">
        <v>60</v>
      </c>
      <c r="E149" s="199"/>
      <c r="F149" s="200"/>
      <c r="G149" s="3"/>
    </row>
    <row r="150" spans="1:7" s="44" customFormat="1" x14ac:dyDescent="0.3">
      <c r="A150" s="45"/>
      <c r="B150" s="46"/>
      <c r="C150" s="136" t="str">
        <f t="shared" si="12"/>
        <v/>
      </c>
      <c r="D150" s="47"/>
      <c r="E150" s="199"/>
      <c r="F150" s="200"/>
      <c r="G150" s="3"/>
    </row>
    <row r="151" spans="1:7" s="44" customFormat="1" x14ac:dyDescent="0.3">
      <c r="A151" s="45"/>
      <c r="B151" s="46"/>
      <c r="C151" s="136" t="str">
        <f t="shared" si="12"/>
        <v/>
      </c>
      <c r="D151" s="47"/>
      <c r="E151" s="199"/>
      <c r="F151" s="200"/>
      <c r="G151" s="3"/>
    </row>
    <row r="152" spans="1:7" s="44" customFormat="1" x14ac:dyDescent="0.3">
      <c r="A152" s="46"/>
      <c r="B152" s="46"/>
      <c r="C152" s="137" t="str">
        <f t="shared" si="12"/>
        <v/>
      </c>
      <c r="D152" s="47"/>
      <c r="E152" s="199"/>
      <c r="F152" s="200"/>
      <c r="G152" s="3"/>
    </row>
    <row r="153" spans="1:7" s="44" customFormat="1" x14ac:dyDescent="0.3">
      <c r="A153" s="46"/>
      <c r="B153" s="46"/>
      <c r="C153" s="137" t="str">
        <f t="shared" si="12"/>
        <v/>
      </c>
      <c r="D153" s="47"/>
      <c r="E153" s="199"/>
      <c r="F153" s="200"/>
      <c r="G153" s="3"/>
    </row>
    <row r="154" spans="1:7" s="44" customFormat="1" x14ac:dyDescent="0.3">
      <c r="A154" s="46"/>
      <c r="B154" s="46"/>
      <c r="C154" s="137" t="str">
        <f t="shared" si="12"/>
        <v/>
      </c>
      <c r="D154" s="47"/>
      <c r="E154" s="199"/>
      <c r="F154" s="200"/>
      <c r="G154" s="3"/>
    </row>
    <row r="155" spans="1:7" s="44" customFormat="1" ht="15" thickBot="1" x14ac:dyDescent="0.35">
      <c r="A155" s="48"/>
      <c r="B155" s="48"/>
      <c r="C155" s="138" t="str">
        <f t="shared" si="12"/>
        <v/>
      </c>
      <c r="D155" s="49"/>
      <c r="E155" s="203"/>
      <c r="F155" s="204"/>
      <c r="G155" s="3"/>
    </row>
    <row r="156" spans="1:7" s="44" customFormat="1" ht="15" thickBot="1" x14ac:dyDescent="0.35">
      <c r="A156" s="145" t="s">
        <v>28</v>
      </c>
      <c r="B156" s="68">
        <f>SUM(B148:B155)</f>
        <v>38</v>
      </c>
      <c r="C156" s="145" t="str">
        <f xml:space="preserve"> setValueToTime(B156)</f>
        <v>3h10min</v>
      </c>
      <c r="D156" s="105"/>
      <c r="E156" s="205"/>
      <c r="F156" s="206"/>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11</v>
      </c>
      <c r="C158" s="147"/>
      <c r="D158" s="140" t="s">
        <v>14</v>
      </c>
      <c r="E158" s="141">
        <v>45427</v>
      </c>
      <c r="F158" s="142" t="s">
        <v>53</v>
      </c>
      <c r="G158" s="39"/>
    </row>
    <row r="159" spans="1:7" s="40" customFormat="1" ht="30" customHeight="1" thickBot="1" x14ac:dyDescent="0.3">
      <c r="A159" s="63" t="s">
        <v>5</v>
      </c>
      <c r="B159" s="144" t="s">
        <v>40</v>
      </c>
      <c r="C159" s="143"/>
      <c r="D159" s="63" t="s">
        <v>12</v>
      </c>
      <c r="E159" s="207" t="s">
        <v>13</v>
      </c>
      <c r="F159" s="208"/>
      <c r="G159" s="39"/>
    </row>
    <row r="160" spans="1:7" s="44" customFormat="1" ht="40.5" x14ac:dyDescent="0.3">
      <c r="A160" s="41" t="s">
        <v>70</v>
      </c>
      <c r="B160" s="42">
        <v>25</v>
      </c>
      <c r="C160" s="135" t="str">
        <f xml:space="preserve"> IF(B160="","",setValueToTime(B160))</f>
        <v>2h5min</v>
      </c>
      <c r="D160" s="43" t="s">
        <v>83</v>
      </c>
      <c r="E160" s="197"/>
      <c r="F160" s="198"/>
      <c r="G160" s="3"/>
    </row>
    <row r="161" spans="1:7" s="44" customFormat="1" x14ac:dyDescent="0.3">
      <c r="A161" s="45" t="s">
        <v>15</v>
      </c>
      <c r="B161" s="46">
        <v>12</v>
      </c>
      <c r="C161" s="136" t="str">
        <f t="shared" ref="C161:C167" si="13" xml:space="preserve"> IF(B161="","",setValueToTime(B161))</f>
        <v>1h</v>
      </c>
      <c r="D161" s="47" t="s">
        <v>74</v>
      </c>
      <c r="E161" s="199"/>
      <c r="F161" s="200"/>
      <c r="G161" s="3"/>
    </row>
    <row r="162" spans="1:7" s="44" customFormat="1" ht="27" x14ac:dyDescent="0.3">
      <c r="A162" s="45" t="s">
        <v>16</v>
      </c>
      <c r="B162" s="46">
        <v>1</v>
      </c>
      <c r="C162" s="136" t="str">
        <f t="shared" si="13"/>
        <v>0h5min</v>
      </c>
      <c r="D162" s="47" t="s">
        <v>60</v>
      </c>
      <c r="E162" s="199"/>
      <c r="F162" s="200"/>
      <c r="G162" s="3"/>
    </row>
    <row r="163" spans="1:7" s="44" customFormat="1" x14ac:dyDescent="0.3">
      <c r="A163" s="45"/>
      <c r="B163" s="46"/>
      <c r="C163" s="136" t="str">
        <f t="shared" si="13"/>
        <v/>
      </c>
      <c r="D163" s="47"/>
      <c r="E163" s="199"/>
      <c r="F163" s="200"/>
      <c r="G163" s="3"/>
    </row>
    <row r="164" spans="1:7" s="44" customFormat="1" x14ac:dyDescent="0.3">
      <c r="A164" s="46"/>
      <c r="B164" s="46"/>
      <c r="C164" s="137" t="str">
        <f t="shared" si="13"/>
        <v/>
      </c>
      <c r="D164" s="47"/>
      <c r="E164" s="199"/>
      <c r="F164" s="200"/>
      <c r="G164" s="3"/>
    </row>
    <row r="165" spans="1:7" s="44" customFormat="1" x14ac:dyDescent="0.3">
      <c r="A165" s="46"/>
      <c r="B165" s="46"/>
      <c r="C165" s="137" t="str">
        <f t="shared" si="13"/>
        <v/>
      </c>
      <c r="D165" s="47"/>
      <c r="E165" s="199"/>
      <c r="F165" s="200"/>
      <c r="G165" s="3"/>
    </row>
    <row r="166" spans="1:7" s="44" customFormat="1" x14ac:dyDescent="0.3">
      <c r="A166" s="46"/>
      <c r="B166" s="46"/>
      <c r="C166" s="137" t="str">
        <f t="shared" si="13"/>
        <v/>
      </c>
      <c r="D166" s="47"/>
      <c r="E166" s="199"/>
      <c r="F166" s="200"/>
      <c r="G166" s="3"/>
    </row>
    <row r="167" spans="1:7" s="44" customFormat="1" ht="15" thickBot="1" x14ac:dyDescent="0.35">
      <c r="A167" s="48"/>
      <c r="B167" s="48"/>
      <c r="C167" s="138" t="str">
        <f t="shared" si="13"/>
        <v/>
      </c>
      <c r="D167" s="49"/>
      <c r="E167" s="203"/>
      <c r="F167" s="204"/>
      <c r="G167" s="3"/>
    </row>
    <row r="168" spans="1:7" s="44" customFormat="1" ht="15" thickBot="1" x14ac:dyDescent="0.35">
      <c r="A168" s="145" t="s">
        <v>28</v>
      </c>
      <c r="B168" s="68">
        <f>SUM(B160:B167)</f>
        <v>38</v>
      </c>
      <c r="C168" s="145" t="str">
        <f xml:space="preserve"> setValueToTime(B168)</f>
        <v>3h10min</v>
      </c>
      <c r="D168" s="105"/>
      <c r="E168" s="205"/>
      <c r="F168" s="206"/>
      <c r="G168" s="3"/>
    </row>
    <row r="169" spans="1:7" s="44" customFormat="1" ht="15" thickBot="1" x14ac:dyDescent="0.35">
      <c r="A169" s="62"/>
      <c r="B169" s="62"/>
      <c r="C169" s="62"/>
      <c r="D169" s="62"/>
      <c r="E169" s="62"/>
      <c r="F169" s="62"/>
      <c r="G169" s="3"/>
    </row>
    <row r="170" spans="1:7" s="40" customFormat="1" ht="30" customHeight="1" thickBot="1" x14ac:dyDescent="0.3">
      <c r="A170" s="139" t="s">
        <v>11</v>
      </c>
      <c r="B170" s="147">
        <v>10</v>
      </c>
      <c r="C170" s="147"/>
      <c r="D170" s="140" t="s">
        <v>14</v>
      </c>
      <c r="E170" s="141">
        <v>45427</v>
      </c>
      <c r="F170" s="142" t="s">
        <v>56</v>
      </c>
      <c r="G170" s="39"/>
    </row>
    <row r="171" spans="1:7" s="40" customFormat="1" ht="30" customHeight="1" thickBot="1" x14ac:dyDescent="0.3">
      <c r="A171" s="63" t="s">
        <v>5</v>
      </c>
      <c r="B171" s="144" t="s">
        <v>40</v>
      </c>
      <c r="C171" s="143"/>
      <c r="D171" s="63" t="s">
        <v>12</v>
      </c>
      <c r="E171" s="207" t="s">
        <v>13</v>
      </c>
      <c r="F171" s="208"/>
      <c r="G171" s="39"/>
    </row>
    <row r="172" spans="1:7" s="44" customFormat="1" ht="40.5" x14ac:dyDescent="0.3">
      <c r="A172" s="41" t="s">
        <v>71</v>
      </c>
      <c r="B172" s="42">
        <v>37</v>
      </c>
      <c r="C172" s="135" t="str">
        <f xml:space="preserve"> IF(B172="","",setValueToTime(B172))</f>
        <v>3h5min</v>
      </c>
      <c r="D172" s="43" t="s">
        <v>73</v>
      </c>
      <c r="E172" s="197"/>
      <c r="F172" s="198"/>
      <c r="G172" s="3"/>
    </row>
    <row r="173" spans="1:7" s="44" customFormat="1" ht="27" x14ac:dyDescent="0.3">
      <c r="A173" s="45" t="s">
        <v>16</v>
      </c>
      <c r="B173" s="46">
        <v>1</v>
      </c>
      <c r="C173" s="136" t="str">
        <f t="shared" ref="C173:C174" si="14" xml:space="preserve"> IF(B173="","",setValueToTime(B173))</f>
        <v>0h5min</v>
      </c>
      <c r="D173" s="47" t="s">
        <v>60</v>
      </c>
      <c r="E173" s="199"/>
      <c r="F173" s="200"/>
      <c r="G173" s="3"/>
    </row>
    <row r="174" spans="1:7" s="44" customFormat="1" x14ac:dyDescent="0.3">
      <c r="A174" s="45"/>
      <c r="B174" s="46"/>
      <c r="C174" s="136" t="str">
        <f t="shared" si="14"/>
        <v/>
      </c>
      <c r="D174" s="47"/>
      <c r="E174" s="199"/>
      <c r="F174" s="200"/>
      <c r="G174" s="3"/>
    </row>
    <row r="175" spans="1:7" s="44" customFormat="1" x14ac:dyDescent="0.3">
      <c r="A175" s="45"/>
      <c r="B175" s="46"/>
      <c r="C175" s="136" t="str">
        <f t="shared" ref="C175:C179" si="15" xml:space="preserve"> IF(B175="","",setValueToTime(B175))</f>
        <v/>
      </c>
      <c r="D175" s="47"/>
      <c r="E175" s="199"/>
      <c r="F175" s="200"/>
      <c r="G175" s="3"/>
    </row>
    <row r="176" spans="1:7" s="44" customFormat="1" x14ac:dyDescent="0.3">
      <c r="A176" s="46"/>
      <c r="B176" s="46"/>
      <c r="C176" s="137" t="str">
        <f t="shared" si="15"/>
        <v/>
      </c>
      <c r="D176" s="47"/>
      <c r="E176" s="199"/>
      <c r="F176" s="200"/>
      <c r="G176" s="3"/>
    </row>
    <row r="177" spans="1:7" s="44" customFormat="1" x14ac:dyDescent="0.3">
      <c r="A177" s="46"/>
      <c r="B177" s="46"/>
      <c r="C177" s="137" t="str">
        <f t="shared" si="15"/>
        <v/>
      </c>
      <c r="D177" s="47"/>
      <c r="E177" s="199"/>
      <c r="F177" s="200"/>
      <c r="G177" s="3"/>
    </row>
    <row r="178" spans="1:7" s="44" customFormat="1" x14ac:dyDescent="0.3">
      <c r="A178" s="46"/>
      <c r="B178" s="46"/>
      <c r="C178" s="137" t="str">
        <f t="shared" si="15"/>
        <v/>
      </c>
      <c r="D178" s="47"/>
      <c r="E178" s="199"/>
      <c r="F178" s="200"/>
      <c r="G178" s="3"/>
    </row>
    <row r="179" spans="1:7" s="44" customFormat="1" ht="15" thickBot="1" x14ac:dyDescent="0.35">
      <c r="A179" s="48"/>
      <c r="B179" s="48"/>
      <c r="C179" s="138" t="str">
        <f t="shared" si="15"/>
        <v/>
      </c>
      <c r="D179" s="49"/>
      <c r="E179" s="203"/>
      <c r="F179" s="204"/>
      <c r="G179" s="3"/>
    </row>
    <row r="180" spans="1:7" s="44" customFormat="1" ht="15" thickBot="1" x14ac:dyDescent="0.35">
      <c r="A180" s="145" t="s">
        <v>28</v>
      </c>
      <c r="B180" s="68">
        <f>SUM(B172:B179)</f>
        <v>38</v>
      </c>
      <c r="C180" s="145" t="str">
        <f xml:space="preserve"> setValueToTime(B180)</f>
        <v>3h10min</v>
      </c>
      <c r="D180" s="105"/>
      <c r="E180" s="205"/>
      <c r="F180" s="206"/>
      <c r="G180" s="3"/>
    </row>
    <row r="181" spans="1:7" s="44" customFormat="1" ht="15" thickBot="1" x14ac:dyDescent="0.35">
      <c r="A181" s="62"/>
      <c r="B181" s="62"/>
      <c r="C181" s="62"/>
      <c r="D181" s="62"/>
      <c r="E181" s="62"/>
      <c r="F181" s="62"/>
      <c r="G181" s="3"/>
    </row>
    <row r="182" spans="1:7" s="40" customFormat="1" ht="30" customHeight="1" thickBot="1" x14ac:dyDescent="0.3">
      <c r="A182" s="139" t="s">
        <v>11</v>
      </c>
      <c r="B182" s="147">
        <v>9</v>
      </c>
      <c r="C182" s="147"/>
      <c r="D182" s="140" t="s">
        <v>14</v>
      </c>
      <c r="E182" s="141">
        <v>45425</v>
      </c>
      <c r="F182" s="142" t="s">
        <v>53</v>
      </c>
      <c r="G182" s="39"/>
    </row>
    <row r="183" spans="1:7" s="40" customFormat="1" ht="30" customHeight="1" thickBot="1" x14ac:dyDescent="0.3">
      <c r="A183" s="63" t="s">
        <v>5</v>
      </c>
      <c r="B183" s="144" t="s">
        <v>40</v>
      </c>
      <c r="C183" s="143"/>
      <c r="D183" s="63" t="s">
        <v>12</v>
      </c>
      <c r="E183" s="207" t="s">
        <v>13</v>
      </c>
      <c r="F183" s="208"/>
      <c r="G183" s="39"/>
    </row>
    <row r="184" spans="1:7" s="44" customFormat="1" ht="40.5" x14ac:dyDescent="0.3">
      <c r="A184" s="41" t="s">
        <v>71</v>
      </c>
      <c r="B184" s="42">
        <v>24</v>
      </c>
      <c r="C184" s="135" t="str">
        <f xml:space="preserve"> IF(B184="","",setValueToTime(B184))</f>
        <v>2h</v>
      </c>
      <c r="D184" s="43" t="s">
        <v>120</v>
      </c>
      <c r="E184" s="197"/>
      <c r="F184" s="198"/>
      <c r="G184" s="3"/>
    </row>
    <row r="185" spans="1:7" s="44" customFormat="1" x14ac:dyDescent="0.3">
      <c r="A185" s="45" t="s">
        <v>15</v>
      </c>
      <c r="B185" s="46">
        <v>3</v>
      </c>
      <c r="C185" s="136" t="str">
        <f t="shared" ref="C185:C191" si="16" xml:space="preserve"> IF(B185="","",setValueToTime(B185))</f>
        <v>0h15min</v>
      </c>
      <c r="D185" s="47" t="s">
        <v>74</v>
      </c>
      <c r="E185" s="199"/>
      <c r="F185" s="200"/>
      <c r="G185" s="3"/>
    </row>
    <row r="186" spans="1:7" s="44" customFormat="1" ht="27" x14ac:dyDescent="0.3">
      <c r="A186" s="45" t="s">
        <v>16</v>
      </c>
      <c r="B186" s="46">
        <v>1</v>
      </c>
      <c r="C186" s="136" t="str">
        <f t="shared" si="16"/>
        <v>0h5min</v>
      </c>
      <c r="D186" s="47" t="s">
        <v>60</v>
      </c>
      <c r="E186" s="199"/>
      <c r="F186" s="200"/>
      <c r="G186" s="3"/>
    </row>
    <row r="187" spans="1:7" s="44" customFormat="1" x14ac:dyDescent="0.3">
      <c r="A187" s="45"/>
      <c r="B187" s="46"/>
      <c r="C187" s="136" t="str">
        <f t="shared" si="16"/>
        <v/>
      </c>
      <c r="D187" s="47"/>
      <c r="E187" s="199"/>
      <c r="F187" s="200"/>
      <c r="G187" s="3"/>
    </row>
    <row r="188" spans="1:7" s="44" customFormat="1" x14ac:dyDescent="0.3">
      <c r="A188" s="46"/>
      <c r="B188" s="46"/>
      <c r="C188" s="137" t="str">
        <f t="shared" si="16"/>
        <v/>
      </c>
      <c r="D188" s="47"/>
      <c r="E188" s="199"/>
      <c r="F188" s="200"/>
      <c r="G188" s="3"/>
    </row>
    <row r="189" spans="1:7" s="44" customFormat="1" x14ac:dyDescent="0.3">
      <c r="A189" s="46"/>
      <c r="B189" s="46"/>
      <c r="C189" s="137" t="str">
        <f t="shared" si="16"/>
        <v/>
      </c>
      <c r="D189" s="47"/>
      <c r="E189" s="199"/>
      <c r="F189" s="200"/>
      <c r="G189" s="3"/>
    </row>
    <row r="190" spans="1:7" s="44" customFormat="1" x14ac:dyDescent="0.3">
      <c r="A190" s="46"/>
      <c r="B190" s="46"/>
      <c r="C190" s="137" t="str">
        <f t="shared" si="16"/>
        <v/>
      </c>
      <c r="D190" s="47"/>
      <c r="E190" s="199"/>
      <c r="F190" s="200"/>
      <c r="G190" s="3"/>
    </row>
    <row r="191" spans="1:7" s="44" customFormat="1" ht="15" thickBot="1" x14ac:dyDescent="0.35">
      <c r="A191" s="48"/>
      <c r="B191" s="48"/>
      <c r="C191" s="138" t="str">
        <f t="shared" si="16"/>
        <v/>
      </c>
      <c r="D191" s="49"/>
      <c r="E191" s="203"/>
      <c r="F191" s="204"/>
      <c r="G191" s="3"/>
    </row>
    <row r="192" spans="1:7" s="44" customFormat="1" ht="15" thickBot="1" x14ac:dyDescent="0.35">
      <c r="A192" s="145" t="s">
        <v>28</v>
      </c>
      <c r="B192" s="68">
        <f>SUM(B184:B191)</f>
        <v>28</v>
      </c>
      <c r="C192" s="145" t="str">
        <f xml:space="preserve"> setValueToTime(B192)</f>
        <v>2h20min</v>
      </c>
      <c r="D192" s="105"/>
      <c r="E192" s="205"/>
      <c r="F192" s="206"/>
      <c r="G192" s="3"/>
    </row>
    <row r="193" spans="1:7" s="44" customFormat="1" ht="15" thickBot="1" x14ac:dyDescent="0.35">
      <c r="A193" s="62"/>
      <c r="B193" s="62"/>
      <c r="C193" s="62"/>
      <c r="D193" s="62"/>
      <c r="E193" s="62"/>
      <c r="F193" s="62"/>
      <c r="G193" s="3"/>
    </row>
    <row r="194" spans="1:7" s="40" customFormat="1" ht="30" customHeight="1" thickBot="1" x14ac:dyDescent="0.3">
      <c r="A194" s="139" t="s">
        <v>11</v>
      </c>
      <c r="B194" s="147">
        <v>8</v>
      </c>
      <c r="C194" s="147"/>
      <c r="D194" s="140" t="s">
        <v>14</v>
      </c>
      <c r="E194" s="141">
        <v>45425</v>
      </c>
      <c r="F194" s="142" t="s">
        <v>56</v>
      </c>
      <c r="G194" s="39"/>
    </row>
    <row r="195" spans="1:7" s="40" customFormat="1" ht="30" customHeight="1" thickBot="1" x14ac:dyDescent="0.3">
      <c r="A195" s="63" t="s">
        <v>5</v>
      </c>
      <c r="B195" s="144" t="s">
        <v>40</v>
      </c>
      <c r="C195" s="143"/>
      <c r="D195" s="63" t="s">
        <v>12</v>
      </c>
      <c r="E195" s="207" t="s">
        <v>13</v>
      </c>
      <c r="F195" s="208"/>
      <c r="G195" s="39"/>
    </row>
    <row r="196" spans="1:7" s="44" customFormat="1" ht="40.5" x14ac:dyDescent="0.3">
      <c r="A196" s="41" t="s">
        <v>71</v>
      </c>
      <c r="B196" s="42">
        <v>47</v>
      </c>
      <c r="C196" s="135" t="str">
        <f xml:space="preserve"> IF(B196="","",setValueToTime(B196))</f>
        <v>3h55min</v>
      </c>
      <c r="D196" s="43" t="s">
        <v>72</v>
      </c>
      <c r="E196" s="197"/>
      <c r="F196" s="198"/>
      <c r="G196" s="3"/>
    </row>
    <row r="197" spans="1:7" s="44" customFormat="1" ht="27" x14ac:dyDescent="0.3">
      <c r="A197" s="45" t="s">
        <v>16</v>
      </c>
      <c r="B197" s="46">
        <v>1</v>
      </c>
      <c r="C197" s="136" t="str">
        <f t="shared" ref="C197:C203" si="17" xml:space="preserve"> IF(B197="","",setValueToTime(B197))</f>
        <v>0h5min</v>
      </c>
      <c r="D197" s="47" t="s">
        <v>60</v>
      </c>
      <c r="E197" s="199"/>
      <c r="F197" s="200"/>
      <c r="G197" s="3"/>
    </row>
    <row r="198" spans="1:7" s="44" customFormat="1" x14ac:dyDescent="0.3">
      <c r="A198" s="45"/>
      <c r="B198" s="46"/>
      <c r="C198" s="136" t="str">
        <f t="shared" si="17"/>
        <v/>
      </c>
      <c r="D198" s="47"/>
      <c r="E198" s="199"/>
      <c r="F198" s="200"/>
      <c r="G198" s="3"/>
    </row>
    <row r="199" spans="1:7" s="44" customFormat="1" x14ac:dyDescent="0.3">
      <c r="A199" s="45"/>
      <c r="B199" s="46"/>
      <c r="C199" s="136" t="str">
        <f t="shared" si="17"/>
        <v/>
      </c>
      <c r="D199" s="47"/>
      <c r="E199" s="199"/>
      <c r="F199" s="200"/>
      <c r="G199" s="3"/>
    </row>
    <row r="200" spans="1:7" s="44" customFormat="1" x14ac:dyDescent="0.3">
      <c r="A200" s="46"/>
      <c r="B200" s="46"/>
      <c r="C200" s="137" t="str">
        <f t="shared" si="17"/>
        <v/>
      </c>
      <c r="D200" s="47"/>
      <c r="E200" s="199"/>
      <c r="F200" s="200"/>
      <c r="G200" s="3"/>
    </row>
    <row r="201" spans="1:7" s="44" customFormat="1" x14ac:dyDescent="0.3">
      <c r="A201" s="46"/>
      <c r="B201" s="46"/>
      <c r="C201" s="137" t="str">
        <f t="shared" si="17"/>
        <v/>
      </c>
      <c r="D201" s="47"/>
      <c r="E201" s="199"/>
      <c r="F201" s="200"/>
      <c r="G201" s="3"/>
    </row>
    <row r="202" spans="1:7" s="44" customFormat="1" x14ac:dyDescent="0.3">
      <c r="A202" s="46"/>
      <c r="B202" s="46"/>
      <c r="C202" s="137" t="str">
        <f t="shared" si="17"/>
        <v/>
      </c>
      <c r="D202" s="47"/>
      <c r="E202" s="199"/>
      <c r="F202" s="200"/>
      <c r="G202" s="3"/>
    </row>
    <row r="203" spans="1:7" s="44" customFormat="1" ht="15" thickBot="1" x14ac:dyDescent="0.35">
      <c r="A203" s="48"/>
      <c r="B203" s="48"/>
      <c r="C203" s="138" t="str">
        <f t="shared" si="17"/>
        <v/>
      </c>
      <c r="D203" s="49"/>
      <c r="E203" s="203"/>
      <c r="F203" s="204"/>
      <c r="G203" s="3"/>
    </row>
    <row r="204" spans="1:7" s="44" customFormat="1" ht="15" thickBot="1" x14ac:dyDescent="0.35">
      <c r="A204" s="145" t="s">
        <v>28</v>
      </c>
      <c r="B204" s="68">
        <f>SUM(B196:B203)</f>
        <v>48</v>
      </c>
      <c r="C204" s="145" t="str">
        <f xml:space="preserve"> setValueToTime(B204)</f>
        <v>4h</v>
      </c>
      <c r="D204" s="105"/>
      <c r="E204" s="205"/>
      <c r="F204" s="206"/>
      <c r="G204" s="3"/>
    </row>
    <row r="205" spans="1:7" s="44" customFormat="1" ht="15" thickBot="1" x14ac:dyDescent="0.35">
      <c r="A205" s="62"/>
      <c r="B205" s="62"/>
      <c r="C205" s="62"/>
      <c r="D205" s="62"/>
      <c r="E205" s="62"/>
      <c r="F205" s="62"/>
      <c r="G205" s="3"/>
    </row>
    <row r="206" spans="1:7" s="40" customFormat="1" ht="30" customHeight="1" thickBot="1" x14ac:dyDescent="0.3">
      <c r="A206" s="139" t="s">
        <v>11</v>
      </c>
      <c r="B206" s="147">
        <v>7</v>
      </c>
      <c r="C206" s="147"/>
      <c r="D206" s="140" t="s">
        <v>14</v>
      </c>
      <c r="E206" s="141">
        <v>45420</v>
      </c>
      <c r="F206" s="142" t="s">
        <v>53</v>
      </c>
      <c r="G206" s="39"/>
    </row>
    <row r="207" spans="1:7" s="40" customFormat="1" ht="30" customHeight="1" thickBot="1" x14ac:dyDescent="0.3">
      <c r="A207" s="63" t="s">
        <v>5</v>
      </c>
      <c r="B207" s="144" t="s">
        <v>40</v>
      </c>
      <c r="C207" s="143"/>
      <c r="D207" s="63" t="s">
        <v>12</v>
      </c>
      <c r="E207" s="207" t="s">
        <v>13</v>
      </c>
      <c r="F207" s="208"/>
      <c r="G207" s="39"/>
    </row>
    <row r="208" spans="1:7" s="44" customFormat="1" ht="40.5" x14ac:dyDescent="0.3">
      <c r="A208" s="41" t="s">
        <v>71</v>
      </c>
      <c r="B208" s="42">
        <v>31</v>
      </c>
      <c r="C208" s="135" t="str">
        <f xml:space="preserve"> IF(B208="","",setValueToTime(B208))</f>
        <v>2h35min</v>
      </c>
      <c r="D208" s="43" t="s">
        <v>67</v>
      </c>
      <c r="E208" s="197"/>
      <c r="F208" s="198"/>
      <c r="G208" s="3"/>
    </row>
    <row r="209" spans="1:7" s="44" customFormat="1" x14ac:dyDescent="0.3">
      <c r="A209" s="45" t="s">
        <v>15</v>
      </c>
      <c r="B209" s="46">
        <v>6</v>
      </c>
      <c r="C209" s="136" t="str">
        <f t="shared" ref="C209:C215" si="18" xml:space="preserve"> IF(B209="","",setValueToTime(B209))</f>
        <v>0h30min</v>
      </c>
      <c r="D209" s="47" t="s">
        <v>58</v>
      </c>
      <c r="E209" s="199"/>
      <c r="F209" s="200"/>
      <c r="G209" s="3"/>
    </row>
    <row r="210" spans="1:7" s="44" customFormat="1" ht="27" x14ac:dyDescent="0.3">
      <c r="A210" s="45" t="s">
        <v>16</v>
      </c>
      <c r="B210" s="46">
        <v>1</v>
      </c>
      <c r="C210" s="136" t="str">
        <f t="shared" si="18"/>
        <v>0h5min</v>
      </c>
      <c r="D210" s="47" t="s">
        <v>60</v>
      </c>
      <c r="E210" s="199"/>
      <c r="F210" s="200"/>
      <c r="G210" s="3"/>
    </row>
    <row r="211" spans="1:7" s="44" customFormat="1" x14ac:dyDescent="0.3">
      <c r="A211" s="45"/>
      <c r="B211" s="46"/>
      <c r="C211" s="136" t="str">
        <f t="shared" si="18"/>
        <v/>
      </c>
      <c r="D211" s="47"/>
      <c r="E211" s="199"/>
      <c r="F211" s="200"/>
      <c r="G211" s="3"/>
    </row>
    <row r="212" spans="1:7" s="44" customFormat="1" x14ac:dyDescent="0.3">
      <c r="A212" s="46"/>
      <c r="B212" s="46"/>
      <c r="C212" s="137" t="str">
        <f t="shared" si="18"/>
        <v/>
      </c>
      <c r="D212" s="47"/>
      <c r="E212" s="199"/>
      <c r="F212" s="200"/>
      <c r="G212" s="3"/>
    </row>
    <row r="213" spans="1:7" s="44" customFormat="1" x14ac:dyDescent="0.3">
      <c r="A213" s="46"/>
      <c r="B213" s="46"/>
      <c r="C213" s="137" t="str">
        <f t="shared" si="18"/>
        <v/>
      </c>
      <c r="D213" s="47"/>
      <c r="E213" s="199"/>
      <c r="F213" s="200"/>
      <c r="G213" s="3"/>
    </row>
    <row r="214" spans="1:7" s="44" customFormat="1" x14ac:dyDescent="0.3">
      <c r="A214" s="46"/>
      <c r="B214" s="46"/>
      <c r="C214" s="137" t="str">
        <f t="shared" si="18"/>
        <v/>
      </c>
      <c r="D214" s="47"/>
      <c r="E214" s="199"/>
      <c r="F214" s="200"/>
      <c r="G214" s="3"/>
    </row>
    <row r="215" spans="1:7" s="44" customFormat="1" ht="15" thickBot="1" x14ac:dyDescent="0.35">
      <c r="A215" s="48"/>
      <c r="B215" s="48"/>
      <c r="C215" s="138" t="str">
        <f t="shared" si="18"/>
        <v/>
      </c>
      <c r="D215" s="49"/>
      <c r="E215" s="203"/>
      <c r="F215" s="204"/>
      <c r="G215" s="3"/>
    </row>
    <row r="216" spans="1:7" s="44" customFormat="1" ht="15" thickBot="1" x14ac:dyDescent="0.35">
      <c r="A216" s="145" t="s">
        <v>28</v>
      </c>
      <c r="B216" s="68">
        <f>SUM(B208:B215)</f>
        <v>38</v>
      </c>
      <c r="C216" s="145" t="str">
        <f xml:space="preserve"> setValueToTime(B216)</f>
        <v>3h10min</v>
      </c>
      <c r="D216" s="105"/>
      <c r="E216" s="205"/>
      <c r="F216" s="206"/>
      <c r="G216" s="3"/>
    </row>
    <row r="217" spans="1:7" s="44" customFormat="1" ht="15" thickBot="1" x14ac:dyDescent="0.35">
      <c r="A217" s="62"/>
      <c r="B217" s="62"/>
      <c r="C217" s="62"/>
      <c r="D217" s="62"/>
      <c r="E217" s="62"/>
      <c r="F217" s="62"/>
      <c r="G217" s="3"/>
    </row>
    <row r="218" spans="1:7" s="40" customFormat="1" ht="30" customHeight="1" thickBot="1" x14ac:dyDescent="0.3">
      <c r="A218" s="139" t="s">
        <v>11</v>
      </c>
      <c r="B218" s="147">
        <v>6</v>
      </c>
      <c r="C218" s="147"/>
      <c r="D218" s="140" t="s">
        <v>14</v>
      </c>
      <c r="E218" s="141">
        <v>45420</v>
      </c>
      <c r="F218" s="142" t="s">
        <v>56</v>
      </c>
      <c r="G218" s="39"/>
    </row>
    <row r="219" spans="1:7" s="40" customFormat="1" ht="30" customHeight="1" thickBot="1" x14ac:dyDescent="0.3">
      <c r="A219" s="63" t="s">
        <v>5</v>
      </c>
      <c r="B219" s="144" t="s">
        <v>40</v>
      </c>
      <c r="C219" s="143"/>
      <c r="D219" s="63" t="s">
        <v>12</v>
      </c>
      <c r="E219" s="207" t="s">
        <v>13</v>
      </c>
      <c r="F219" s="208"/>
      <c r="G219" s="39"/>
    </row>
    <row r="220" spans="1:7" s="44" customFormat="1" ht="27" x14ac:dyDescent="0.3">
      <c r="A220" s="41" t="s">
        <v>69</v>
      </c>
      <c r="B220" s="42">
        <v>12</v>
      </c>
      <c r="C220" s="135" t="str">
        <f xml:space="preserve"> IF(B220="","",setValueToTime(B220))</f>
        <v>1h</v>
      </c>
      <c r="D220" s="43" t="s">
        <v>66</v>
      </c>
      <c r="E220" s="197"/>
      <c r="F220" s="198"/>
      <c r="G220" s="3"/>
    </row>
    <row r="221" spans="1:7" s="44" customFormat="1" ht="40.5" x14ac:dyDescent="0.3">
      <c r="A221" s="45" t="s">
        <v>71</v>
      </c>
      <c r="B221" s="46">
        <v>25</v>
      </c>
      <c r="C221" s="136" t="str">
        <f t="shared" ref="C221:C227" si="19" xml:space="preserve"> IF(B221="","",setValueToTime(B221))</f>
        <v>2h5min</v>
      </c>
      <c r="D221" s="47" t="s">
        <v>67</v>
      </c>
      <c r="E221" s="199"/>
      <c r="F221" s="200"/>
      <c r="G221" s="3"/>
    </row>
    <row r="222" spans="1:7" s="44" customFormat="1" ht="27" x14ac:dyDescent="0.3">
      <c r="A222" s="45" t="s">
        <v>16</v>
      </c>
      <c r="B222" s="46">
        <v>1</v>
      </c>
      <c r="C222" s="136" t="str">
        <f t="shared" si="19"/>
        <v>0h5min</v>
      </c>
      <c r="D222" s="47" t="s">
        <v>60</v>
      </c>
      <c r="E222" s="199"/>
      <c r="F222" s="200"/>
      <c r="G222" s="3"/>
    </row>
    <row r="223" spans="1:7" s="44" customFormat="1" x14ac:dyDescent="0.3">
      <c r="A223" s="45"/>
      <c r="B223" s="46"/>
      <c r="C223" s="136" t="str">
        <f t="shared" si="19"/>
        <v/>
      </c>
      <c r="D223" s="47"/>
      <c r="E223" s="199"/>
      <c r="F223" s="200"/>
      <c r="G223" s="3"/>
    </row>
    <row r="224" spans="1:7" s="44" customFormat="1" x14ac:dyDescent="0.3">
      <c r="A224" s="46"/>
      <c r="B224" s="46"/>
      <c r="C224" s="137" t="str">
        <f t="shared" si="19"/>
        <v/>
      </c>
      <c r="D224" s="47"/>
      <c r="E224" s="199"/>
      <c r="F224" s="200"/>
      <c r="G224" s="3"/>
    </row>
    <row r="225" spans="1:7" s="44" customFormat="1" x14ac:dyDescent="0.3">
      <c r="A225" s="46"/>
      <c r="B225" s="46"/>
      <c r="C225" s="137" t="str">
        <f t="shared" si="19"/>
        <v/>
      </c>
      <c r="D225" s="47"/>
      <c r="E225" s="199"/>
      <c r="F225" s="200"/>
      <c r="G225" s="3"/>
    </row>
    <row r="226" spans="1:7" s="44" customFormat="1" x14ac:dyDescent="0.3">
      <c r="A226" s="46"/>
      <c r="B226" s="46"/>
      <c r="C226" s="137" t="str">
        <f t="shared" si="19"/>
        <v/>
      </c>
      <c r="D226" s="47"/>
      <c r="E226" s="199"/>
      <c r="F226" s="200"/>
      <c r="G226" s="3"/>
    </row>
    <row r="227" spans="1:7" s="44" customFormat="1" ht="15" thickBot="1" x14ac:dyDescent="0.35">
      <c r="A227" s="48"/>
      <c r="B227" s="48"/>
      <c r="C227" s="138" t="str">
        <f t="shared" si="19"/>
        <v/>
      </c>
      <c r="D227" s="49"/>
      <c r="E227" s="203"/>
      <c r="F227" s="204"/>
      <c r="G227" s="3"/>
    </row>
    <row r="228" spans="1:7" s="44" customFormat="1" ht="15" thickBot="1" x14ac:dyDescent="0.35">
      <c r="A228" s="145" t="s">
        <v>28</v>
      </c>
      <c r="B228" s="68">
        <f>SUM(B220:B227)</f>
        <v>38</v>
      </c>
      <c r="C228" s="145" t="str">
        <f xml:space="preserve"> setValueToTime(B228)</f>
        <v>3h10min</v>
      </c>
      <c r="D228" s="105"/>
      <c r="E228" s="205"/>
      <c r="F228" s="206"/>
      <c r="G228" s="3"/>
    </row>
    <row r="229" spans="1:7" s="44" customFormat="1" ht="15" thickBot="1" x14ac:dyDescent="0.35">
      <c r="A229" s="62"/>
      <c r="B229" s="62"/>
      <c r="C229" s="62"/>
      <c r="D229" s="62"/>
      <c r="E229" s="62"/>
      <c r="F229" s="62"/>
      <c r="G229" s="3"/>
    </row>
    <row r="230" spans="1:7" s="40" customFormat="1" ht="30" customHeight="1" thickBot="1" x14ac:dyDescent="0.3">
      <c r="A230" s="139" t="s">
        <v>11</v>
      </c>
      <c r="B230" s="147">
        <v>5</v>
      </c>
      <c r="C230" s="147"/>
      <c r="D230" s="140" t="s">
        <v>14</v>
      </c>
      <c r="E230" s="141">
        <v>45418</v>
      </c>
      <c r="F230" s="142" t="s">
        <v>53</v>
      </c>
      <c r="G230" s="39"/>
    </row>
    <row r="231" spans="1:7" s="40" customFormat="1" ht="30" customHeight="1" thickBot="1" x14ac:dyDescent="0.3">
      <c r="A231" s="63" t="s">
        <v>5</v>
      </c>
      <c r="B231" s="144" t="s">
        <v>40</v>
      </c>
      <c r="C231" s="143"/>
      <c r="D231" s="63" t="s">
        <v>12</v>
      </c>
      <c r="E231" s="207" t="s">
        <v>13</v>
      </c>
      <c r="F231" s="208"/>
      <c r="G231" s="39"/>
    </row>
    <row r="232" spans="1:7" s="44" customFormat="1" ht="40.5" x14ac:dyDescent="0.3">
      <c r="A232" s="41" t="s">
        <v>68</v>
      </c>
      <c r="B232" s="42">
        <v>21</v>
      </c>
      <c r="C232" s="135" t="str">
        <f xml:space="preserve"> IF(B232="","",setValueToTime(B232))</f>
        <v>1h45min</v>
      </c>
      <c r="D232" s="43" t="s">
        <v>64</v>
      </c>
      <c r="E232" s="197"/>
      <c r="F232" s="198"/>
      <c r="G232" s="3"/>
    </row>
    <row r="233" spans="1:7" s="44" customFormat="1" x14ac:dyDescent="0.3">
      <c r="A233" s="45" t="s">
        <v>15</v>
      </c>
      <c r="B233" s="46">
        <v>6</v>
      </c>
      <c r="C233" s="136" t="str">
        <f t="shared" ref="C233:C239" si="20" xml:space="preserve"> IF(B233="","",setValueToTime(B233))</f>
        <v>0h30min</v>
      </c>
      <c r="D233" s="47" t="s">
        <v>65</v>
      </c>
      <c r="E233" s="199"/>
      <c r="F233" s="200"/>
      <c r="G233" s="3"/>
    </row>
    <row r="234" spans="1:7" s="44" customFormat="1" ht="27" x14ac:dyDescent="0.3">
      <c r="A234" s="45" t="s">
        <v>16</v>
      </c>
      <c r="B234" s="46">
        <v>1</v>
      </c>
      <c r="C234" s="136" t="str">
        <f t="shared" si="20"/>
        <v>0h5min</v>
      </c>
      <c r="D234" s="47" t="s">
        <v>60</v>
      </c>
      <c r="E234" s="199"/>
      <c r="F234" s="200"/>
      <c r="G234" s="3"/>
    </row>
    <row r="235" spans="1:7" s="44" customFormat="1" x14ac:dyDescent="0.3">
      <c r="A235" s="45"/>
      <c r="B235" s="46"/>
      <c r="C235" s="136" t="str">
        <f t="shared" si="20"/>
        <v/>
      </c>
      <c r="D235" s="47"/>
      <c r="E235" s="199"/>
      <c r="F235" s="200"/>
      <c r="G235" s="3"/>
    </row>
    <row r="236" spans="1:7" s="44" customFormat="1" x14ac:dyDescent="0.3">
      <c r="A236" s="46"/>
      <c r="B236" s="46"/>
      <c r="C236" s="137" t="str">
        <f t="shared" si="20"/>
        <v/>
      </c>
      <c r="D236" s="47"/>
      <c r="E236" s="199"/>
      <c r="F236" s="200"/>
      <c r="G236" s="3"/>
    </row>
    <row r="237" spans="1:7" s="44" customFormat="1" x14ac:dyDescent="0.3">
      <c r="A237" s="46"/>
      <c r="B237" s="46"/>
      <c r="C237" s="137" t="str">
        <f t="shared" si="20"/>
        <v/>
      </c>
      <c r="D237" s="47"/>
      <c r="E237" s="199"/>
      <c r="F237" s="200"/>
      <c r="G237" s="3"/>
    </row>
    <row r="238" spans="1:7" s="44" customFormat="1" x14ac:dyDescent="0.3">
      <c r="A238" s="46"/>
      <c r="B238" s="46"/>
      <c r="C238" s="137" t="str">
        <f t="shared" si="20"/>
        <v/>
      </c>
      <c r="D238" s="47"/>
      <c r="E238" s="199"/>
      <c r="F238" s="200"/>
      <c r="G238" s="3"/>
    </row>
    <row r="239" spans="1:7" s="44" customFormat="1" ht="15" thickBot="1" x14ac:dyDescent="0.35">
      <c r="A239" s="48"/>
      <c r="B239" s="48"/>
      <c r="C239" s="138" t="str">
        <f t="shared" si="20"/>
        <v/>
      </c>
      <c r="D239" s="49"/>
      <c r="E239" s="203"/>
      <c r="F239" s="204"/>
      <c r="G239" s="3"/>
    </row>
    <row r="240" spans="1:7" s="44" customFormat="1" ht="15" thickBot="1" x14ac:dyDescent="0.35">
      <c r="A240" s="145" t="s">
        <v>28</v>
      </c>
      <c r="B240" s="68">
        <f>SUM(B232:B239)</f>
        <v>28</v>
      </c>
      <c r="C240" s="145" t="str">
        <f xml:space="preserve"> setValueToTime(B240)</f>
        <v>2h20min</v>
      </c>
      <c r="D240" s="105"/>
      <c r="E240" s="205"/>
      <c r="F240" s="206"/>
      <c r="G240" s="3"/>
    </row>
    <row r="241" spans="1:7" s="44" customFormat="1" ht="15" thickBot="1" x14ac:dyDescent="0.35">
      <c r="A241" s="62"/>
      <c r="B241" s="62"/>
      <c r="C241" s="62"/>
      <c r="D241" s="62"/>
      <c r="E241" s="62"/>
      <c r="F241" s="62"/>
      <c r="G241" s="3"/>
    </row>
    <row r="242" spans="1:7" s="40" customFormat="1" ht="30" customHeight="1" thickBot="1" x14ac:dyDescent="0.3">
      <c r="A242" s="139" t="s">
        <v>11</v>
      </c>
      <c r="B242" s="147">
        <v>4</v>
      </c>
      <c r="C242" s="147"/>
      <c r="D242" s="140" t="s">
        <v>14</v>
      </c>
      <c r="E242" s="141">
        <v>45418</v>
      </c>
      <c r="F242" s="142" t="s">
        <v>56</v>
      </c>
      <c r="G242" s="39"/>
    </row>
    <row r="243" spans="1:7" s="40" customFormat="1" ht="30" customHeight="1" thickBot="1" x14ac:dyDescent="0.3">
      <c r="A243" s="63" t="s">
        <v>5</v>
      </c>
      <c r="B243" s="144" t="s">
        <v>40</v>
      </c>
      <c r="C243" s="143"/>
      <c r="D243" s="63" t="s">
        <v>12</v>
      </c>
      <c r="E243" s="207" t="s">
        <v>13</v>
      </c>
      <c r="F243" s="208"/>
      <c r="G243" s="39"/>
    </row>
    <row r="244" spans="1:7" s="44" customFormat="1" ht="40.5" x14ac:dyDescent="0.3">
      <c r="A244" s="41" t="s">
        <v>68</v>
      </c>
      <c r="B244" s="42">
        <v>12</v>
      </c>
      <c r="C244" s="135" t="str">
        <f xml:space="preserve"> IF(B244="","",setValueToTime(B244))</f>
        <v>1h</v>
      </c>
      <c r="D244" s="43" t="s">
        <v>61</v>
      </c>
      <c r="E244" s="197"/>
      <c r="F244" s="198"/>
      <c r="G244" s="3"/>
    </row>
    <row r="245" spans="1:7" s="44" customFormat="1" ht="27" x14ac:dyDescent="0.3">
      <c r="A245" s="45" t="s">
        <v>44</v>
      </c>
      <c r="B245" s="46">
        <v>24</v>
      </c>
      <c r="C245" s="136" t="str">
        <f t="shared" ref="C245:C251" si="21" xml:space="preserve"> IF(B245="","",setValueToTime(B245))</f>
        <v>2h</v>
      </c>
      <c r="D245" s="47" t="s">
        <v>82</v>
      </c>
      <c r="E245" s="199"/>
      <c r="F245" s="200"/>
      <c r="G245" s="3"/>
    </row>
    <row r="246" spans="1:7" s="44" customFormat="1" x14ac:dyDescent="0.3">
      <c r="A246" s="45" t="s">
        <v>44</v>
      </c>
      <c r="B246" s="46">
        <v>6</v>
      </c>
      <c r="C246" s="136" t="str">
        <f t="shared" si="21"/>
        <v>0h30min</v>
      </c>
      <c r="D246" s="47" t="s">
        <v>62</v>
      </c>
      <c r="E246" s="199"/>
      <c r="F246" s="200"/>
      <c r="G246" s="3"/>
    </row>
    <row r="247" spans="1:7" s="44" customFormat="1" ht="27" x14ac:dyDescent="0.3">
      <c r="A247" s="45" t="s">
        <v>43</v>
      </c>
      <c r="B247" s="46">
        <v>5</v>
      </c>
      <c r="C247" s="136" t="str">
        <f t="shared" si="21"/>
        <v>0h25min</v>
      </c>
      <c r="D247" s="47" t="s">
        <v>63</v>
      </c>
      <c r="E247" s="199"/>
      <c r="F247" s="200"/>
      <c r="G247" s="3"/>
    </row>
    <row r="248" spans="1:7" s="44" customFormat="1" ht="27" x14ac:dyDescent="0.3">
      <c r="A248" s="45" t="s">
        <v>16</v>
      </c>
      <c r="B248" s="46">
        <v>1</v>
      </c>
      <c r="C248" s="137" t="str">
        <f t="shared" si="21"/>
        <v>0h5min</v>
      </c>
      <c r="D248" s="159" t="s">
        <v>60</v>
      </c>
      <c r="E248" s="199"/>
      <c r="F248" s="200"/>
      <c r="G248" s="3"/>
    </row>
    <row r="249" spans="1:7" s="44" customFormat="1" x14ac:dyDescent="0.3">
      <c r="A249" s="46"/>
      <c r="B249" s="46"/>
      <c r="C249" s="137" t="str">
        <f t="shared" si="21"/>
        <v/>
      </c>
      <c r="D249" s="47"/>
      <c r="E249" s="199"/>
      <c r="F249" s="200"/>
      <c r="G249" s="3"/>
    </row>
    <row r="250" spans="1:7" s="44" customFormat="1" x14ac:dyDescent="0.3">
      <c r="A250" s="46"/>
      <c r="B250" s="46"/>
      <c r="C250" s="137" t="str">
        <f t="shared" si="21"/>
        <v/>
      </c>
      <c r="D250" s="47"/>
      <c r="E250" s="199"/>
      <c r="F250" s="200"/>
      <c r="G250" s="3"/>
    </row>
    <row r="251" spans="1:7" s="44" customFormat="1" ht="15" thickBot="1" x14ac:dyDescent="0.35">
      <c r="A251" s="48"/>
      <c r="B251" s="48"/>
      <c r="C251" s="138" t="str">
        <f t="shared" si="21"/>
        <v/>
      </c>
      <c r="D251" s="49"/>
      <c r="E251" s="203"/>
      <c r="F251" s="204"/>
      <c r="G251" s="3"/>
    </row>
    <row r="252" spans="1:7" s="44" customFormat="1" ht="15" thickBot="1" x14ac:dyDescent="0.35">
      <c r="A252" s="145" t="s">
        <v>28</v>
      </c>
      <c r="B252" s="68">
        <f>SUM(B244:B251)</f>
        <v>48</v>
      </c>
      <c r="C252" s="145" t="str">
        <f xml:space="preserve"> setValueToTime(B252)</f>
        <v>4h</v>
      </c>
      <c r="D252" s="105"/>
      <c r="E252" s="205"/>
      <c r="F252" s="206"/>
      <c r="G252" s="3"/>
    </row>
    <row r="253" spans="1:7" s="44" customFormat="1" ht="15" thickBot="1" x14ac:dyDescent="0.35">
      <c r="A253" s="62"/>
      <c r="B253" s="62"/>
      <c r="C253" s="62"/>
      <c r="D253" s="62"/>
      <c r="E253" s="62"/>
      <c r="F253" s="62"/>
      <c r="G253" s="3"/>
    </row>
    <row r="254" spans="1:7" s="40" customFormat="1" ht="30" customHeight="1" thickBot="1" x14ac:dyDescent="0.3">
      <c r="A254" s="139" t="s">
        <v>11</v>
      </c>
      <c r="B254" s="147">
        <v>3</v>
      </c>
      <c r="C254" s="147"/>
      <c r="D254" s="140" t="s">
        <v>14</v>
      </c>
      <c r="E254" s="141">
        <v>45415</v>
      </c>
      <c r="F254" s="142" t="s">
        <v>53</v>
      </c>
      <c r="G254" s="39"/>
    </row>
    <row r="255" spans="1:7" s="40" customFormat="1" ht="30" customHeight="1" thickBot="1" x14ac:dyDescent="0.3">
      <c r="A255" s="63" t="s">
        <v>5</v>
      </c>
      <c r="B255" s="144" t="s">
        <v>40</v>
      </c>
      <c r="C255" s="143"/>
      <c r="D255" s="63" t="s">
        <v>12</v>
      </c>
      <c r="E255" s="207" t="s">
        <v>13</v>
      </c>
      <c r="F255" s="208"/>
      <c r="G255" s="39"/>
    </row>
    <row r="256" spans="1:7" s="44" customFormat="1" x14ac:dyDescent="0.3">
      <c r="A256" s="41" t="s">
        <v>15</v>
      </c>
      <c r="B256" s="42">
        <v>12</v>
      </c>
      <c r="C256" s="135" t="str">
        <f xml:space="preserve"> IF(B256="","",setValueToTime(B256))</f>
        <v>1h</v>
      </c>
      <c r="D256" s="43" t="s">
        <v>117</v>
      </c>
      <c r="E256" s="197"/>
      <c r="F256" s="198"/>
      <c r="G256" s="3"/>
    </row>
    <row r="257" spans="1:7" s="44" customFormat="1" x14ac:dyDescent="0.3">
      <c r="A257" s="45" t="s">
        <v>42</v>
      </c>
      <c r="B257" s="46">
        <v>6</v>
      </c>
      <c r="C257" s="136" t="str">
        <f t="shared" ref="C257:C263" si="22" xml:space="preserve"> IF(B257="","",setValueToTime(B257))</f>
        <v>0h30min</v>
      </c>
      <c r="D257" s="47" t="s">
        <v>118</v>
      </c>
      <c r="E257" s="199"/>
      <c r="F257" s="200"/>
      <c r="G257" s="3"/>
    </row>
    <row r="258" spans="1:7" s="44" customFormat="1" x14ac:dyDescent="0.3">
      <c r="A258" s="45" t="s">
        <v>44</v>
      </c>
      <c r="B258" s="46">
        <v>19</v>
      </c>
      <c r="C258" s="136" t="str">
        <f t="shared" si="22"/>
        <v>1h35min</v>
      </c>
      <c r="D258" s="47" t="s">
        <v>119</v>
      </c>
      <c r="E258" s="199"/>
      <c r="F258" s="200"/>
      <c r="G258" s="3"/>
    </row>
    <row r="259" spans="1:7" s="44" customFormat="1" ht="27" x14ac:dyDescent="0.3">
      <c r="A259" s="45" t="s">
        <v>16</v>
      </c>
      <c r="B259" s="46">
        <v>1</v>
      </c>
      <c r="C259" s="136" t="str">
        <f t="shared" si="22"/>
        <v>0h5min</v>
      </c>
      <c r="D259" s="47" t="s">
        <v>60</v>
      </c>
      <c r="E259" s="199"/>
      <c r="F259" s="200"/>
      <c r="G259" s="3"/>
    </row>
    <row r="260" spans="1:7" s="44" customFormat="1" x14ac:dyDescent="0.3">
      <c r="A260" s="46"/>
      <c r="B260" s="46"/>
      <c r="C260" s="137" t="str">
        <f t="shared" si="22"/>
        <v/>
      </c>
      <c r="D260" s="47"/>
      <c r="E260" s="199"/>
      <c r="F260" s="200"/>
      <c r="G260" s="3"/>
    </row>
    <row r="261" spans="1:7" s="44" customFormat="1" x14ac:dyDescent="0.3">
      <c r="A261" s="46"/>
      <c r="B261" s="46"/>
      <c r="C261" s="137" t="str">
        <f t="shared" si="22"/>
        <v/>
      </c>
      <c r="D261" s="47"/>
      <c r="E261" s="199"/>
      <c r="F261" s="200"/>
      <c r="G261" s="3"/>
    </row>
    <row r="262" spans="1:7" s="44" customFormat="1" x14ac:dyDescent="0.3">
      <c r="A262" s="46"/>
      <c r="B262" s="46"/>
      <c r="C262" s="137" t="str">
        <f t="shared" si="22"/>
        <v/>
      </c>
      <c r="D262" s="47"/>
      <c r="E262" s="199"/>
      <c r="F262" s="200"/>
      <c r="G262" s="3"/>
    </row>
    <row r="263" spans="1:7" s="44" customFormat="1" ht="15" thickBot="1" x14ac:dyDescent="0.35">
      <c r="A263" s="48"/>
      <c r="B263" s="48"/>
      <c r="C263" s="138" t="str">
        <f t="shared" si="22"/>
        <v/>
      </c>
      <c r="D263" s="49"/>
      <c r="E263" s="203"/>
      <c r="F263" s="204"/>
      <c r="G263" s="3"/>
    </row>
    <row r="264" spans="1:7" s="44" customFormat="1" ht="15" thickBot="1" x14ac:dyDescent="0.35">
      <c r="A264" s="145" t="s">
        <v>28</v>
      </c>
      <c r="B264" s="68">
        <f>SUM(B256:B263)</f>
        <v>38</v>
      </c>
      <c r="C264" s="145" t="str">
        <f xml:space="preserve"> setValueToTime(B264)</f>
        <v>3h10min</v>
      </c>
      <c r="D264" s="105"/>
      <c r="E264" s="205"/>
      <c r="F264" s="206"/>
      <c r="G264" s="3"/>
    </row>
    <row r="265" spans="1:7" s="44" customFormat="1" ht="15" thickBot="1" x14ac:dyDescent="0.35">
      <c r="A265" s="62"/>
      <c r="B265" s="62"/>
      <c r="C265" s="62"/>
      <c r="D265" s="62"/>
      <c r="E265" s="62"/>
      <c r="F265" s="62"/>
      <c r="G265" s="3"/>
    </row>
    <row r="266" spans="1:7" s="40" customFormat="1" ht="30" customHeight="1" thickBot="1" x14ac:dyDescent="0.3">
      <c r="A266" s="139" t="s">
        <v>11</v>
      </c>
      <c r="B266" s="147">
        <v>2</v>
      </c>
      <c r="C266" s="147"/>
      <c r="D266" s="140" t="s">
        <v>14</v>
      </c>
      <c r="E266" s="141">
        <v>45415</v>
      </c>
      <c r="F266" s="142" t="s">
        <v>56</v>
      </c>
      <c r="G266" s="39"/>
    </row>
    <row r="267" spans="1:7" s="40" customFormat="1" ht="30" customHeight="1" thickBot="1" x14ac:dyDescent="0.3">
      <c r="A267" s="63" t="s">
        <v>5</v>
      </c>
      <c r="B267" s="144" t="s">
        <v>40</v>
      </c>
      <c r="C267" s="143"/>
      <c r="D267" s="63" t="s">
        <v>12</v>
      </c>
      <c r="E267" s="207" t="s">
        <v>13</v>
      </c>
      <c r="F267" s="208"/>
      <c r="G267" s="39"/>
    </row>
    <row r="268" spans="1:7" s="44" customFormat="1" ht="27" x14ac:dyDescent="0.3">
      <c r="A268" s="41" t="s">
        <v>31</v>
      </c>
      <c r="B268" s="42">
        <v>12</v>
      </c>
      <c r="C268" s="135" t="str">
        <f xml:space="preserve"> IF(B268="","",setValueToTime(B268))</f>
        <v>1h</v>
      </c>
      <c r="D268" s="43" t="s">
        <v>55</v>
      </c>
      <c r="E268" s="197"/>
      <c r="F268" s="198"/>
      <c r="G268" s="3"/>
    </row>
    <row r="269" spans="1:7" s="44" customFormat="1" ht="27" x14ac:dyDescent="0.3">
      <c r="A269" s="45" t="s">
        <v>31</v>
      </c>
      <c r="B269" s="46">
        <v>25</v>
      </c>
      <c r="C269" s="136" t="str">
        <f t="shared" ref="C269:C275" si="23" xml:space="preserve"> IF(B269="","",setValueToTime(B269))</f>
        <v>2h5min</v>
      </c>
      <c r="D269" s="47" t="s">
        <v>54</v>
      </c>
      <c r="E269" s="199"/>
      <c r="F269" s="200"/>
      <c r="G269" s="3"/>
    </row>
    <row r="270" spans="1:7" s="44" customFormat="1" ht="27" x14ac:dyDescent="0.3">
      <c r="A270" s="45" t="s">
        <v>16</v>
      </c>
      <c r="B270" s="46">
        <v>1</v>
      </c>
      <c r="C270" s="136" t="str">
        <f t="shared" si="23"/>
        <v>0h5min</v>
      </c>
      <c r="D270" s="47" t="s">
        <v>57</v>
      </c>
      <c r="E270" s="199"/>
      <c r="F270" s="200"/>
      <c r="G270" s="3"/>
    </row>
    <row r="271" spans="1:7" s="44" customFormat="1" x14ac:dyDescent="0.3">
      <c r="A271" s="45"/>
      <c r="B271" s="46"/>
      <c r="C271" s="136" t="str">
        <f t="shared" si="23"/>
        <v/>
      </c>
      <c r="D271" s="47"/>
      <c r="E271" s="199"/>
      <c r="F271" s="200"/>
      <c r="G271" s="3"/>
    </row>
    <row r="272" spans="1:7" s="44" customFormat="1" x14ac:dyDescent="0.3">
      <c r="A272" s="46"/>
      <c r="B272" s="46"/>
      <c r="C272" s="137" t="str">
        <f t="shared" si="23"/>
        <v/>
      </c>
      <c r="D272" s="47"/>
      <c r="E272" s="199"/>
      <c r="F272" s="200"/>
      <c r="G272" s="3"/>
    </row>
    <row r="273" spans="1:7" s="44" customFormat="1" x14ac:dyDescent="0.3">
      <c r="A273" s="46"/>
      <c r="B273" s="46"/>
      <c r="C273" s="137" t="str">
        <f t="shared" si="23"/>
        <v/>
      </c>
      <c r="D273" s="47"/>
      <c r="E273" s="199"/>
      <c r="F273" s="200"/>
      <c r="G273" s="3"/>
    </row>
    <row r="274" spans="1:7" s="44" customFormat="1" x14ac:dyDescent="0.3">
      <c r="A274" s="46"/>
      <c r="B274" s="46"/>
      <c r="C274" s="137" t="str">
        <f t="shared" si="23"/>
        <v/>
      </c>
      <c r="D274" s="47"/>
      <c r="E274" s="199"/>
      <c r="F274" s="200"/>
      <c r="G274" s="3"/>
    </row>
    <row r="275" spans="1:7" s="44" customFormat="1" ht="15" thickBot="1" x14ac:dyDescent="0.35">
      <c r="A275" s="48"/>
      <c r="B275" s="48"/>
      <c r="C275" s="138" t="str">
        <f t="shared" si="23"/>
        <v/>
      </c>
      <c r="D275" s="49"/>
      <c r="E275" s="203"/>
      <c r="F275" s="204"/>
      <c r="G275" s="3"/>
    </row>
    <row r="276" spans="1:7" s="44" customFormat="1" ht="15" thickBot="1" x14ac:dyDescent="0.35">
      <c r="A276" s="145" t="s">
        <v>28</v>
      </c>
      <c r="B276" s="68">
        <f>SUM(B268:B275)</f>
        <v>38</v>
      </c>
      <c r="C276" s="145" t="str">
        <f xml:space="preserve"> setValueToTime(B276)</f>
        <v>3h10min</v>
      </c>
      <c r="D276" s="105"/>
      <c r="E276" s="205"/>
      <c r="F276" s="206"/>
      <c r="G276" s="3"/>
    </row>
    <row r="277" spans="1:7" s="44" customFormat="1" ht="15" thickBot="1" x14ac:dyDescent="0.35">
      <c r="A277" s="62"/>
      <c r="B277" s="62"/>
      <c r="C277" s="62"/>
      <c r="D277" s="62"/>
      <c r="E277" s="62"/>
      <c r="F277" s="62"/>
      <c r="G277" s="3"/>
    </row>
    <row r="278" spans="1:7" s="40" customFormat="1" ht="30" customHeight="1" thickBot="1" x14ac:dyDescent="0.3">
      <c r="A278" s="139" t="s">
        <v>11</v>
      </c>
      <c r="B278" s="147">
        <v>1</v>
      </c>
      <c r="C278" s="147"/>
      <c r="D278" s="140" t="s">
        <v>14</v>
      </c>
      <c r="E278" s="141">
        <v>45414</v>
      </c>
      <c r="F278" s="142" t="s">
        <v>53</v>
      </c>
      <c r="G278" s="39"/>
    </row>
    <row r="279" spans="1:7" s="40" customFormat="1" ht="30" customHeight="1" thickBot="1" x14ac:dyDescent="0.3">
      <c r="A279" s="63" t="s">
        <v>5</v>
      </c>
      <c r="B279" s="144" t="s">
        <v>40</v>
      </c>
      <c r="C279" s="143"/>
      <c r="D279" s="63" t="s">
        <v>12</v>
      </c>
      <c r="E279" s="207" t="s">
        <v>13</v>
      </c>
      <c r="F279" s="208"/>
      <c r="G279" s="39"/>
    </row>
    <row r="280" spans="1:7" s="44" customFormat="1" ht="27" x14ac:dyDescent="0.3">
      <c r="A280" s="41" t="s">
        <v>31</v>
      </c>
      <c r="B280" s="42">
        <v>37</v>
      </c>
      <c r="C280" s="135" t="str">
        <f xml:space="preserve"> IF(B280="","",setValueToTime(B280))</f>
        <v>3h5min</v>
      </c>
      <c r="D280" s="43" t="s">
        <v>54</v>
      </c>
      <c r="E280" s="197"/>
      <c r="F280" s="198"/>
      <c r="G280" s="3"/>
    </row>
    <row r="281" spans="1:7" s="44" customFormat="1" ht="27" x14ac:dyDescent="0.3">
      <c r="A281" s="45" t="s">
        <v>16</v>
      </c>
      <c r="B281" s="46">
        <v>1</v>
      </c>
      <c r="C281" s="136" t="str">
        <f t="shared" ref="C281:C287" si="24" xml:space="preserve"> IF(B281="","",setValueToTime(B281))</f>
        <v>0h5min</v>
      </c>
      <c r="D281" s="47" t="s">
        <v>60</v>
      </c>
      <c r="E281" s="199"/>
      <c r="F281" s="200"/>
      <c r="G281" s="3"/>
    </row>
    <row r="282" spans="1:7" s="44" customFormat="1" x14ac:dyDescent="0.3">
      <c r="A282" s="45"/>
      <c r="B282" s="46"/>
      <c r="C282" s="136" t="str">
        <f t="shared" si="24"/>
        <v/>
      </c>
      <c r="D282" s="47"/>
      <c r="E282" s="199"/>
      <c r="F282" s="200"/>
      <c r="G282" s="3"/>
    </row>
    <row r="283" spans="1:7" s="44" customFormat="1" x14ac:dyDescent="0.3">
      <c r="A283" s="45"/>
      <c r="B283" s="46"/>
      <c r="C283" s="136" t="str">
        <f t="shared" si="24"/>
        <v/>
      </c>
      <c r="D283" s="47"/>
      <c r="E283" s="199"/>
      <c r="F283" s="200"/>
      <c r="G283" s="3"/>
    </row>
    <row r="284" spans="1:7" s="44" customFormat="1" x14ac:dyDescent="0.3">
      <c r="A284" s="46"/>
      <c r="B284" s="46"/>
      <c r="C284" s="137" t="str">
        <f t="shared" si="24"/>
        <v/>
      </c>
      <c r="D284" s="47"/>
      <c r="E284" s="199"/>
      <c r="F284" s="200"/>
      <c r="G284" s="3"/>
    </row>
    <row r="285" spans="1:7" s="44" customFormat="1" x14ac:dyDescent="0.3">
      <c r="A285" s="46"/>
      <c r="B285" s="46"/>
      <c r="C285" s="137" t="str">
        <f t="shared" si="24"/>
        <v/>
      </c>
      <c r="D285" s="47"/>
      <c r="E285" s="199"/>
      <c r="F285" s="200"/>
      <c r="G285" s="3"/>
    </row>
    <row r="286" spans="1:7" s="44" customFormat="1" x14ac:dyDescent="0.3">
      <c r="A286" s="46"/>
      <c r="B286" s="46"/>
      <c r="C286" s="137" t="str">
        <f t="shared" si="24"/>
        <v/>
      </c>
      <c r="D286" s="47"/>
      <c r="E286" s="199"/>
      <c r="F286" s="200"/>
      <c r="G286" s="3"/>
    </row>
    <row r="287" spans="1:7" s="44" customFormat="1" ht="15" thickBot="1" x14ac:dyDescent="0.35">
      <c r="A287" s="48"/>
      <c r="B287" s="48"/>
      <c r="C287" s="138" t="str">
        <f t="shared" si="24"/>
        <v/>
      </c>
      <c r="D287" s="49"/>
      <c r="E287" s="203"/>
      <c r="F287" s="204"/>
      <c r="G287" s="3"/>
    </row>
    <row r="288" spans="1:7" s="44" customFormat="1" ht="15" thickBot="1" x14ac:dyDescent="0.35">
      <c r="A288" s="145" t="s">
        <v>28</v>
      </c>
      <c r="B288" s="68">
        <f>SUM(B280:B287)</f>
        <v>38</v>
      </c>
      <c r="C288" s="145" t="str">
        <f xml:space="preserve"> setValueToTime(B288)</f>
        <v>3h10min</v>
      </c>
      <c r="D288" s="105"/>
      <c r="E288" s="205"/>
      <c r="F288" s="206"/>
      <c r="G288" s="3"/>
    </row>
    <row r="289" spans="1:7" s="44" customFormat="1" x14ac:dyDescent="0.3">
      <c r="A289" s="62"/>
      <c r="B289" s="62"/>
      <c r="C289" s="62"/>
      <c r="D289" s="62"/>
      <c r="E289" s="62"/>
      <c r="F289" s="62"/>
      <c r="G289" s="3"/>
    </row>
  </sheetData>
  <sheetProtection formatRows="0" insertRows="0" insertHyperlinks="0" deleteRows="0" selectLockedCells="1"/>
  <mergeCells count="240">
    <mergeCell ref="E36:F36"/>
    <mergeCell ref="E27:F27"/>
    <mergeCell ref="E28:F28"/>
    <mergeCell ref="E29:F29"/>
    <mergeCell ref="E30:F30"/>
    <mergeCell ref="E31:F31"/>
    <mergeCell ref="E32:F32"/>
    <mergeCell ref="E33:F33"/>
    <mergeCell ref="E34:F34"/>
    <mergeCell ref="E35:F35"/>
    <mergeCell ref="E72:F72"/>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59:F159"/>
    <mergeCell ref="E160:F160"/>
    <mergeCell ref="E161:F161"/>
    <mergeCell ref="E162:F162"/>
    <mergeCell ref="E163:F163"/>
    <mergeCell ref="E147:F147"/>
    <mergeCell ref="E148:F148"/>
    <mergeCell ref="E149:F149"/>
    <mergeCell ref="E150:F150"/>
    <mergeCell ref="E151:F151"/>
    <mergeCell ref="E152:F152"/>
    <mergeCell ref="E153:F153"/>
    <mergeCell ref="E154:F154"/>
    <mergeCell ref="E155:F155"/>
    <mergeCell ref="E156:F156"/>
    <mergeCell ref="E171:F171"/>
    <mergeCell ref="E172:F172"/>
    <mergeCell ref="E173:F173"/>
    <mergeCell ref="E174:F174"/>
    <mergeCell ref="E175:F175"/>
    <mergeCell ref="E164:F164"/>
    <mergeCell ref="E165:F165"/>
    <mergeCell ref="E166:F166"/>
    <mergeCell ref="E167:F167"/>
    <mergeCell ref="E168:F168"/>
    <mergeCell ref="E183:F183"/>
    <mergeCell ref="E184:F184"/>
    <mergeCell ref="E185:F185"/>
    <mergeCell ref="E186:F186"/>
    <mergeCell ref="E187:F187"/>
    <mergeCell ref="E176:F176"/>
    <mergeCell ref="E177:F177"/>
    <mergeCell ref="E178:F178"/>
    <mergeCell ref="E179:F179"/>
    <mergeCell ref="E180:F180"/>
    <mergeCell ref="E238:F238"/>
    <mergeCell ref="E239:F239"/>
    <mergeCell ref="E240:F240"/>
    <mergeCell ref="E231:F231"/>
    <mergeCell ref="E232:F232"/>
    <mergeCell ref="E233:F233"/>
    <mergeCell ref="E234:F234"/>
    <mergeCell ref="E235:F235"/>
    <mergeCell ref="E188:F188"/>
    <mergeCell ref="E189:F189"/>
    <mergeCell ref="E190:F190"/>
    <mergeCell ref="E191:F191"/>
    <mergeCell ref="E192:F192"/>
    <mergeCell ref="E228:F228"/>
    <mergeCell ref="E207:F207"/>
    <mergeCell ref="E208:F208"/>
    <mergeCell ref="E209:F209"/>
    <mergeCell ref="E210:F210"/>
    <mergeCell ref="E211:F211"/>
    <mergeCell ref="E212:F212"/>
    <mergeCell ref="E213:F213"/>
    <mergeCell ref="E214:F214"/>
    <mergeCell ref="E215:F215"/>
    <mergeCell ref="E216:F216"/>
    <mergeCell ref="E262:F262"/>
    <mergeCell ref="E263:F263"/>
    <mergeCell ref="E264:F264"/>
    <mergeCell ref="E243:F243"/>
    <mergeCell ref="E244:F244"/>
    <mergeCell ref="E245:F245"/>
    <mergeCell ref="E246:F246"/>
    <mergeCell ref="E247:F247"/>
    <mergeCell ref="E248:F248"/>
    <mergeCell ref="E249:F249"/>
    <mergeCell ref="E250:F250"/>
    <mergeCell ref="E251:F251"/>
    <mergeCell ref="E252:F252"/>
    <mergeCell ref="E257:F257"/>
    <mergeCell ref="E258:F258"/>
    <mergeCell ref="E259:F259"/>
    <mergeCell ref="E260:F260"/>
    <mergeCell ref="E261:F261"/>
    <mergeCell ref="E255:F255"/>
    <mergeCell ref="E256:F256"/>
    <mergeCell ref="E288:F288"/>
    <mergeCell ref="E267:F267"/>
    <mergeCell ref="E268:F268"/>
    <mergeCell ref="E269:F269"/>
    <mergeCell ref="E270:F270"/>
    <mergeCell ref="E271:F271"/>
    <mergeCell ref="E272:F272"/>
    <mergeCell ref="E279:F279"/>
    <mergeCell ref="E280:F280"/>
    <mergeCell ref="E281:F281"/>
    <mergeCell ref="E282:F282"/>
    <mergeCell ref="E283:F283"/>
    <mergeCell ref="E284:F284"/>
    <mergeCell ref="E273:F273"/>
    <mergeCell ref="E274:F274"/>
    <mergeCell ref="E275:F275"/>
    <mergeCell ref="E276:F276"/>
    <mergeCell ref="E285:F285"/>
    <mergeCell ref="E286:F286"/>
    <mergeCell ref="E287:F287"/>
    <mergeCell ref="E236:F236"/>
    <mergeCell ref="E237:F237"/>
    <mergeCell ref="E204:F204"/>
    <mergeCell ref="E195:F195"/>
    <mergeCell ref="E196:F196"/>
    <mergeCell ref="E197:F197"/>
    <mergeCell ref="E198:F198"/>
    <mergeCell ref="E199:F199"/>
    <mergeCell ref="E200:F200"/>
    <mergeCell ref="E201:F201"/>
    <mergeCell ref="E202:F202"/>
    <mergeCell ref="E203:F203"/>
    <mergeCell ref="E219:F219"/>
    <mergeCell ref="E220:F220"/>
    <mergeCell ref="E221:F221"/>
    <mergeCell ref="E222:F222"/>
    <mergeCell ref="E223:F223"/>
    <mergeCell ref="E224:F224"/>
    <mergeCell ref="E225:F225"/>
    <mergeCell ref="E226:F226"/>
    <mergeCell ref="E227:F227"/>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s>
  <phoneticPr fontId="0" type="noConversion"/>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disablePrompts="1" count="3">
    <dataValidation type="whole" operator="greaterThan" allowBlank="1" showInputMessage="1" showErrorMessage="1" errorTitle="Durée par tranche de 10min" error="Le nombre doit être de type entier" sqref="B280:B287 B268:B275 B256:B263 B244:B251 B232:B239 B220:B227 B208:B215 B196:B203 B184:B191 B172:B179 B160:B167 B136:B143 B148:B155 B124:B131 B112:B119 B100:B107 B76:B83 B88:B95 B64:B71 B52:B59 B40:B47 B28:B35 B16:B23 B4:B11" xr:uid="{C05E4500-49D3-4946-910F-A21A5CA8B152}">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88 B276 B264 B252 B240 B228 B216 B204 B192 B180 B168 B156 B144 B132 B120 B108 B96 B84 B72 B60 B48 B36 B24 B12" xr:uid="{6B9101FD-0299-4881-9532-96B9711032F1}">
      <formula1>0</formula1>
      <formula2>60</formula2>
    </dataValidation>
    <dataValidation type="list" allowBlank="1" showInputMessage="1" showErrorMessage="1" sqref="A280:A287 A268:A275 A256:A263 A244:A251 A232:A239 A220:A227 A208:A215 A196:A203 A184:A191 A172:A179 A160:A167 A136:A143 A148:A155 A124:A131 A112:A119 A100:A107 A76:A83 A88:A95 A64:A71 A40:A47 A52:A59 A28:A35 A16:A23 A4:A11" xr:uid="{BC964BB6-3081-457F-A2CB-2769CE799D0B}">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8" scale="49" fitToHeight="4" orientation="landscape" r:id="rId1"/>
  <headerFooter alignWithMargins="0">
    <oddHeader>&amp;L&amp;"ETML,Normal"&amp;14ETML&amp;R&amp;14&amp;USection Informatique</oddHeader>
    <oddFooter>&amp;L&amp;14&amp;D - GGZ&amp;C&amp;14&amp;F - &amp;A&amp;R&amp;14&amp;P/&amp;N</oddFooter>
  </headerFooter>
  <rowBreaks count="1" manualBreakCount="1">
    <brk id="229" max="5" man="1"/>
  </rowBreaks>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885825</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62"/>
      <c r="B10" s="162"/>
      <c r="C10" s="162"/>
      <c r="D10" s="162"/>
      <c r="E10" s="162"/>
      <c r="F10" s="162"/>
      <c r="G10" s="162"/>
      <c r="H10" s="162"/>
      <c r="I10" s="162"/>
      <c r="J10" s="162"/>
      <c r="K10" s="162"/>
      <c r="L10" s="162"/>
      <c r="M10" s="162"/>
      <c r="N10" s="162"/>
      <c r="O10" s="162"/>
      <c r="P10" s="162"/>
      <c r="Q10" s="162"/>
      <c r="R10" s="162"/>
      <c r="S10" s="162"/>
      <c r="T10" s="162"/>
      <c r="U10" s="162"/>
      <c r="V10" s="162"/>
      <c r="W10" s="162"/>
      <c r="X10" s="162"/>
      <c r="Y10" s="162"/>
      <c r="Z10" s="162"/>
      <c r="AA10" s="162"/>
      <c r="AB10" s="162"/>
      <c r="AC10" s="162"/>
      <c r="AD10" s="162"/>
      <c r="AE10" s="162"/>
      <c r="AF10" s="162"/>
      <c r="AG10" s="162"/>
      <c r="AH10" s="162"/>
      <c r="AI10" s="162"/>
      <c r="AJ10" s="162"/>
      <c r="AK10" s="162"/>
      <c r="AL10" s="162"/>
      <c r="AM10" s="162"/>
      <c r="AN10" s="162"/>
      <c r="AO10" s="162"/>
      <c r="AP10" s="162"/>
      <c r="AQ10" s="162"/>
      <c r="AR10" s="162"/>
      <c r="AS10" s="162"/>
      <c r="AT10" s="162"/>
      <c r="AU10" s="162"/>
      <c r="AV10" s="162"/>
      <c r="AW10" s="162"/>
      <c r="AX10" s="162"/>
      <c r="AY10" s="162"/>
      <c r="AZ10" s="162"/>
      <c r="BA10" s="162"/>
      <c r="BB10" s="162"/>
      <c r="BC10" s="162"/>
      <c r="BD10" s="162"/>
      <c r="BE10" s="162"/>
      <c r="BF10" s="162"/>
      <c r="BG10" s="162"/>
      <c r="BH10" s="162"/>
      <c r="BI10" s="75"/>
    </row>
    <row r="11" spans="1:61" ht="18" x14ac:dyDescent="0.25">
      <c r="A11" s="164"/>
      <c r="B11" s="164"/>
      <c r="C11" s="164"/>
      <c r="D11" s="164"/>
      <c r="E11" s="164"/>
      <c r="F11" s="164"/>
      <c r="G11" s="164"/>
      <c r="H11" s="164"/>
      <c r="I11" s="164"/>
      <c r="J11" s="164"/>
      <c r="K11" s="164"/>
      <c r="L11" s="164"/>
      <c r="M11" s="164"/>
      <c r="N11" s="164"/>
      <c r="O11" s="164"/>
      <c r="P11" s="164"/>
      <c r="Q11" s="164"/>
      <c r="R11" s="164"/>
      <c r="S11" s="164"/>
      <c r="T11" s="164"/>
      <c r="U11" s="164"/>
      <c r="V11" s="164"/>
      <c r="W11" s="164"/>
      <c r="X11" s="164"/>
      <c r="Y11" s="164"/>
      <c r="Z11" s="164"/>
      <c r="AA11" s="164"/>
      <c r="AB11" s="164"/>
      <c r="AC11" s="164"/>
      <c r="AD11" s="164"/>
      <c r="AE11" s="164"/>
      <c r="AF11" s="164"/>
      <c r="AG11" s="164"/>
      <c r="AH11" s="164"/>
      <c r="AI11" s="164"/>
      <c r="AJ11" s="164"/>
      <c r="AK11" s="164"/>
      <c r="AL11" s="164"/>
      <c r="AM11" s="164"/>
      <c r="AN11" s="164"/>
      <c r="AO11" s="164"/>
      <c r="AP11" s="164"/>
      <c r="AQ11" s="164"/>
      <c r="AR11" s="164"/>
      <c r="AS11" s="164"/>
      <c r="AT11" s="164"/>
      <c r="AU11" s="164"/>
      <c r="AV11" s="164"/>
      <c r="AW11" s="164"/>
      <c r="AX11" s="164"/>
      <c r="AY11" s="164"/>
      <c r="AZ11" s="164"/>
      <c r="BA11" s="164"/>
      <c r="BB11" s="164"/>
      <c r="BC11" s="164"/>
      <c r="BD11" s="164"/>
      <c r="BE11" s="164"/>
      <c r="BF11" s="164"/>
      <c r="BG11" s="164"/>
      <c r="BH11" s="164"/>
      <c r="BI11" s="75"/>
    </row>
    <row r="12" spans="1:61" ht="18.75" thickBot="1" x14ac:dyDescent="0.3">
      <c r="A12" s="165"/>
      <c r="B12" s="165"/>
      <c r="C12" s="165"/>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c r="AE12" s="165"/>
      <c r="AF12" s="165"/>
      <c r="AG12" s="165"/>
      <c r="AH12" s="165"/>
      <c r="AI12" s="165"/>
      <c r="AJ12" s="165"/>
      <c r="AK12" s="165"/>
      <c r="AL12" s="165"/>
      <c r="AM12" s="165"/>
      <c r="AN12" s="165"/>
      <c r="AO12" s="165"/>
      <c r="AP12" s="165"/>
      <c r="AQ12" s="165"/>
      <c r="AR12" s="165"/>
      <c r="AS12" s="165"/>
      <c r="AT12" s="165"/>
      <c r="AU12" s="165"/>
      <c r="AV12" s="165"/>
      <c r="AW12" s="165"/>
      <c r="AX12" s="165"/>
      <c r="AY12" s="165"/>
      <c r="AZ12" s="165"/>
      <c r="BA12" s="165"/>
      <c r="BB12" s="165"/>
      <c r="BC12" s="165"/>
      <c r="BD12" s="165"/>
      <c r="BE12" s="165"/>
      <c r="BF12" s="165"/>
      <c r="BG12" s="165"/>
      <c r="BH12" s="165"/>
      <c r="BI12" s="75"/>
    </row>
    <row r="13" spans="1:61" ht="18.75" thickBot="1" x14ac:dyDescent="0.3">
      <c r="A13" s="166" t="s">
        <v>11</v>
      </c>
      <c r="B13" s="167"/>
      <c r="C13" s="167"/>
      <c r="D13" s="167"/>
      <c r="E13" s="167"/>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7"/>
      <c r="AG13" s="167"/>
      <c r="AH13" s="167"/>
      <c r="AI13" s="167"/>
      <c r="AJ13" s="167"/>
      <c r="AK13" s="167"/>
      <c r="AL13" s="167"/>
      <c r="AM13" s="167"/>
      <c r="AN13" s="167"/>
      <c r="AO13" s="167"/>
      <c r="AP13" s="167"/>
      <c r="AQ13" s="167"/>
      <c r="AR13" s="167"/>
      <c r="AS13" s="167"/>
      <c r="AT13" s="167"/>
      <c r="AU13" s="167"/>
      <c r="AV13" s="167"/>
      <c r="AW13" s="167"/>
      <c r="AX13" s="167"/>
      <c r="AY13" s="167"/>
      <c r="AZ13" s="167"/>
      <c r="BA13" s="167"/>
      <c r="BB13" s="167"/>
      <c r="BC13" s="167"/>
      <c r="BD13" s="167"/>
      <c r="BE13" s="167"/>
      <c r="BF13" s="167"/>
      <c r="BG13" s="167"/>
      <c r="BH13" s="168"/>
      <c r="BI13" s="75"/>
    </row>
    <row r="14" spans="1:61" ht="15.75" thickBot="1" x14ac:dyDescent="0.35">
      <c r="A14" s="87"/>
      <c r="B14" s="88"/>
      <c r="C14" s="88"/>
      <c r="D14" s="88"/>
      <c r="E14" s="169" t="s">
        <v>34</v>
      </c>
      <c r="F14" s="169"/>
      <c r="G14" s="169"/>
      <c r="H14" s="169"/>
      <c r="I14" s="88"/>
      <c r="J14" s="88"/>
      <c r="K14" s="170" t="s">
        <v>23</v>
      </c>
      <c r="L14" s="170"/>
      <c r="M14" s="170"/>
      <c r="N14" s="170"/>
      <c r="O14" s="112"/>
      <c r="P14" s="112"/>
      <c r="Q14" s="169" t="s">
        <v>35</v>
      </c>
      <c r="R14" s="169"/>
      <c r="S14" s="169"/>
      <c r="T14" s="169"/>
      <c r="U14" s="88"/>
      <c r="V14" s="88"/>
      <c r="W14" s="170" t="s">
        <v>24</v>
      </c>
      <c r="X14" s="170"/>
      <c r="Y14" s="170"/>
      <c r="Z14" s="170"/>
      <c r="AA14" s="112"/>
      <c r="AB14" s="112"/>
      <c r="AC14" s="169" t="s">
        <v>36</v>
      </c>
      <c r="AD14" s="169"/>
      <c r="AE14" s="169"/>
      <c r="AF14" s="169"/>
      <c r="AG14" s="88"/>
      <c r="AH14" s="88"/>
      <c r="AI14" s="170" t="s">
        <v>25</v>
      </c>
      <c r="AJ14" s="170"/>
      <c r="AK14" s="170"/>
      <c r="AL14" s="170"/>
      <c r="AM14" s="112"/>
      <c r="AN14" s="112"/>
      <c r="AO14" s="169" t="s">
        <v>37</v>
      </c>
      <c r="AP14" s="169"/>
      <c r="AQ14" s="169"/>
      <c r="AR14" s="169"/>
      <c r="AS14" s="88"/>
      <c r="AT14" s="88"/>
      <c r="AU14" s="170" t="s">
        <v>26</v>
      </c>
      <c r="AV14" s="170"/>
      <c r="AW14" s="170"/>
      <c r="AX14" s="170"/>
      <c r="AY14" s="112"/>
      <c r="AZ14" s="112"/>
      <c r="BA14" s="169" t="s">
        <v>38</v>
      </c>
      <c r="BB14" s="169"/>
      <c r="BC14" s="169"/>
      <c r="BD14" s="169"/>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195" t="s">
        <v>13</v>
      </c>
      <c r="F2" s="196"/>
      <c r="G2" s="39"/>
    </row>
    <row r="3" spans="1:7" s="44" customFormat="1" x14ac:dyDescent="0.3">
      <c r="A3" s="41"/>
      <c r="B3" s="42"/>
      <c r="C3" s="135" t="str">
        <f xml:space="preserve"> IF(B3="","",setValueToTime(B3))</f>
        <v/>
      </c>
      <c r="D3" s="43"/>
      <c r="E3" s="197"/>
      <c r="F3" s="198"/>
      <c r="G3" s="3"/>
    </row>
    <row r="4" spans="1:7" s="44" customFormat="1" x14ac:dyDescent="0.3">
      <c r="A4" s="45"/>
      <c r="B4" s="46"/>
      <c r="C4" s="136" t="str">
        <f t="shared" ref="C4:C10" si="0" xml:space="preserve"> IF(B4="","",setValueToTime(B4))</f>
        <v/>
      </c>
      <c r="D4" s="47"/>
      <c r="E4" s="199"/>
      <c r="F4" s="200"/>
      <c r="G4" s="3"/>
    </row>
    <row r="5" spans="1:7" s="44" customFormat="1" x14ac:dyDescent="0.3">
      <c r="A5" s="45"/>
      <c r="B5" s="46"/>
      <c r="C5" s="136" t="str">
        <f t="shared" si="0"/>
        <v/>
      </c>
      <c r="D5" s="47"/>
      <c r="E5" s="199"/>
      <c r="F5" s="200"/>
      <c r="G5" s="3"/>
    </row>
    <row r="6" spans="1:7" s="44" customFormat="1" x14ac:dyDescent="0.3">
      <c r="A6" s="45"/>
      <c r="B6" s="46"/>
      <c r="C6" s="136" t="str">
        <f t="shared" si="0"/>
        <v/>
      </c>
      <c r="D6" s="47"/>
      <c r="E6" s="199"/>
      <c r="F6" s="200"/>
      <c r="G6" s="3"/>
    </row>
    <row r="7" spans="1:7" s="44" customFormat="1" x14ac:dyDescent="0.3">
      <c r="A7" s="46"/>
      <c r="B7" s="46"/>
      <c r="C7" s="137" t="str">
        <f t="shared" si="0"/>
        <v/>
      </c>
      <c r="D7" s="47"/>
      <c r="E7" s="199"/>
      <c r="F7" s="200"/>
      <c r="G7" s="3"/>
    </row>
    <row r="8" spans="1:7" s="44" customFormat="1" x14ac:dyDescent="0.3">
      <c r="A8" s="46"/>
      <c r="B8" s="46"/>
      <c r="C8" s="137" t="str">
        <f t="shared" si="0"/>
        <v/>
      </c>
      <c r="D8" s="47"/>
      <c r="E8" s="199"/>
      <c r="F8" s="200"/>
      <c r="G8" s="3"/>
    </row>
    <row r="9" spans="1:7" s="44" customFormat="1" x14ac:dyDescent="0.3">
      <c r="A9" s="46"/>
      <c r="B9" s="46"/>
      <c r="C9" s="137" t="str">
        <f t="shared" si="0"/>
        <v/>
      </c>
      <c r="D9" s="47"/>
      <c r="E9" s="199"/>
      <c r="F9" s="200"/>
      <c r="G9" s="3"/>
    </row>
    <row r="10" spans="1:7" s="44" customFormat="1" ht="15" thickBot="1" x14ac:dyDescent="0.35">
      <c r="A10" s="48"/>
      <c r="B10" s="48"/>
      <c r="C10" s="138" t="str">
        <f t="shared" si="0"/>
        <v/>
      </c>
      <c r="D10" s="49"/>
      <c r="E10" s="203"/>
      <c r="F10" s="204"/>
      <c r="G10" s="3"/>
    </row>
    <row r="11" spans="1:7" s="44" customFormat="1" ht="15" thickBot="1" x14ac:dyDescent="0.35">
      <c r="A11" s="95" t="s">
        <v>28</v>
      </c>
      <c r="B11" s="69">
        <f>SUM(B3:B10)</f>
        <v>0</v>
      </c>
      <c r="C11" s="95" t="str">
        <f xml:space="preserve"> setValueToTime(B11)</f>
        <v>0h</v>
      </c>
      <c r="D11" s="104"/>
      <c r="E11" s="201"/>
      <c r="F11" s="202"/>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07" t="s">
        <v>13</v>
      </c>
      <c r="F2" s="208"/>
      <c r="G2" s="39"/>
    </row>
    <row r="3" spans="1:7" s="44" customFormat="1" x14ac:dyDescent="0.3">
      <c r="A3" s="41"/>
      <c r="B3" s="42"/>
      <c r="C3" s="135" t="str">
        <f xml:space="preserve"> IF(B3="","",setValueToTime(B3))</f>
        <v/>
      </c>
      <c r="D3" s="43"/>
      <c r="E3" s="197"/>
      <c r="F3" s="198"/>
      <c r="G3" s="3"/>
    </row>
    <row r="4" spans="1:7" s="44" customFormat="1" x14ac:dyDescent="0.3">
      <c r="A4" s="45"/>
      <c r="B4" s="46"/>
      <c r="C4" s="136" t="str">
        <f t="shared" ref="C4:C10" si="0" xml:space="preserve"> IF(B4="","",setValueToTime(B4))</f>
        <v/>
      </c>
      <c r="D4" s="47"/>
      <c r="E4" s="199"/>
      <c r="F4" s="200"/>
      <c r="G4" s="3"/>
    </row>
    <row r="5" spans="1:7" s="44" customFormat="1" x14ac:dyDescent="0.3">
      <c r="A5" s="45"/>
      <c r="B5" s="46"/>
      <c r="C5" s="136" t="str">
        <f t="shared" si="0"/>
        <v/>
      </c>
      <c r="D5" s="47"/>
      <c r="E5" s="199"/>
      <c r="F5" s="200"/>
      <c r="G5" s="3"/>
    </row>
    <row r="6" spans="1:7" s="44" customFormat="1" x14ac:dyDescent="0.3">
      <c r="A6" s="45"/>
      <c r="B6" s="46"/>
      <c r="C6" s="136" t="str">
        <f t="shared" si="0"/>
        <v/>
      </c>
      <c r="D6" s="47"/>
      <c r="E6" s="199"/>
      <c r="F6" s="200"/>
      <c r="G6" s="3"/>
    </row>
    <row r="7" spans="1:7" s="44" customFormat="1" x14ac:dyDescent="0.3">
      <c r="A7" s="46"/>
      <c r="B7" s="46"/>
      <c r="C7" s="137" t="str">
        <f t="shared" si="0"/>
        <v/>
      </c>
      <c r="D7" s="47"/>
      <c r="E7" s="199"/>
      <c r="F7" s="200"/>
      <c r="G7" s="3"/>
    </row>
    <row r="8" spans="1:7" s="44" customFormat="1" x14ac:dyDescent="0.3">
      <c r="A8" s="46"/>
      <c r="B8" s="46"/>
      <c r="C8" s="137" t="str">
        <f t="shared" si="0"/>
        <v/>
      </c>
      <c r="D8" s="47"/>
      <c r="E8" s="199"/>
      <c r="F8" s="200"/>
      <c r="G8" s="3"/>
    </row>
    <row r="9" spans="1:7" s="44" customFormat="1" x14ac:dyDescent="0.3">
      <c r="A9" s="46"/>
      <c r="B9" s="46"/>
      <c r="C9" s="137" t="str">
        <f t="shared" si="0"/>
        <v/>
      </c>
      <c r="D9" s="47"/>
      <c r="E9" s="199"/>
      <c r="F9" s="200"/>
      <c r="G9" s="3"/>
    </row>
    <row r="10" spans="1:7" s="44" customFormat="1" ht="15" thickBot="1" x14ac:dyDescent="0.35">
      <c r="A10" s="48"/>
      <c r="B10" s="48"/>
      <c r="C10" s="138" t="str">
        <f t="shared" si="0"/>
        <v/>
      </c>
      <c r="D10" s="49"/>
      <c r="E10" s="203"/>
      <c r="F10" s="204"/>
      <c r="G10" s="3"/>
    </row>
    <row r="11" spans="1:7" s="44" customFormat="1" ht="15" thickBot="1" x14ac:dyDescent="0.35">
      <c r="A11" s="145" t="s">
        <v>28</v>
      </c>
      <c r="B11" s="68">
        <f>SUM(B3:B10)</f>
        <v>0</v>
      </c>
      <c r="C11" s="145" t="str">
        <f xml:space="preserve"> setValueToTime(B11)</f>
        <v>0h</v>
      </c>
      <c r="D11" s="105"/>
      <c r="E11" s="205"/>
      <c r="F11" s="206"/>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EF8A5FE-70ED-419D-A655-40044EB0B08E}">
  <ds:schemaRefs>
    <ds:schemaRef ds:uri="http://purl.org/dc/dcmitype/"/>
    <ds:schemaRef ds:uri="http://schemas.microsoft.com/office/2006/metadata/properties"/>
    <ds:schemaRef ds:uri="http://schemas.microsoft.com/office/2006/documentManagement/types"/>
    <ds:schemaRef ds:uri="http://www.w3.org/XML/1998/namespace"/>
    <ds:schemaRef ds:uri="bf2f2df3-a963-4452-b0e7-67dabc627c35"/>
    <ds:schemaRef ds:uri="http://purl.org/dc/elements/1.1/"/>
    <ds:schemaRef ds:uri="http://schemas.microsoft.com/office/infopath/2007/PartnerControls"/>
    <ds:schemaRef ds:uri="http://schemas.openxmlformats.org/package/2006/metadata/core-properties"/>
    <ds:schemaRef ds:uri="f7d9f5a6-831d-4621-8c77-cbcaf993e406"/>
    <ds:schemaRef ds:uri="http://purl.org/dc/terms/"/>
  </ds:schemaRefs>
</ds:datastoreItem>
</file>

<file path=customXml/itemProps2.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13B46EC-8722-4905-ACD6-4871A675522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Loup Damien ABRAXAS</dc:creator>
  <cp:lastModifiedBy>Damien Loup</cp:lastModifiedBy>
  <cp:lastPrinted>2024-05-08T14:57:57Z</cp:lastPrinted>
  <dcterms:created xsi:type="dcterms:W3CDTF">1996-10-21T11:03:58Z</dcterms:created>
  <dcterms:modified xsi:type="dcterms:W3CDTF">2024-06-02T12:31:50Z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y fmtid="{D5CDD505-2E9C-101B-9397-08002B2CF9AE}" pid="3" name="MSIP_Label_5619e320-7d50-4f4b-a9ca-80310c09da9b_Enabled">
    <vt:lpwstr>true</vt:lpwstr>
  </property>
  <property fmtid="{D5CDD505-2E9C-101B-9397-08002B2CF9AE}" pid="4" name="MSIP_Label_5619e320-7d50-4f4b-a9ca-80310c09da9b_SetDate">
    <vt:lpwstr>2024-05-03T07:32:03Z</vt:lpwstr>
  </property>
  <property fmtid="{D5CDD505-2E9C-101B-9397-08002B2CF9AE}" pid="5" name="MSIP_Label_5619e320-7d50-4f4b-a9ca-80310c09da9b_Method">
    <vt:lpwstr>Standard</vt:lpwstr>
  </property>
  <property fmtid="{D5CDD505-2E9C-101B-9397-08002B2CF9AE}" pid="6" name="MSIP_Label_5619e320-7d50-4f4b-a9ca-80310c09da9b_Name">
    <vt:lpwstr>Intern</vt:lpwstr>
  </property>
  <property fmtid="{D5CDD505-2E9C-101B-9397-08002B2CF9AE}" pid="7" name="MSIP_Label_5619e320-7d50-4f4b-a9ca-80310c09da9b_SiteId">
    <vt:lpwstr>7af59219-a69f-4fc1-be57-7152dd96348a</vt:lpwstr>
  </property>
  <property fmtid="{D5CDD505-2E9C-101B-9397-08002B2CF9AE}" pid="8" name="MSIP_Label_5619e320-7d50-4f4b-a9ca-80310c09da9b_ActionId">
    <vt:lpwstr>f2feb9b8-2660-4986-9ca2-cf5d9324c098</vt:lpwstr>
  </property>
  <property fmtid="{D5CDD505-2E9C-101B-9397-08002B2CF9AE}" pid="9" name="MSIP_Label_5619e320-7d50-4f4b-a9ca-80310c09da9b_ContentBits">
    <vt:lpwstr>0</vt:lpwstr>
  </property>
</Properties>
</file>